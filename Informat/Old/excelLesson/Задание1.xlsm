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6" codeName="{E5D1E7B1-6628-F0F0-D09B-76B25B5F3CD3}"/>
  <workbookPr codeName="ЭтаКнига" defaultThemeVersion="202300"/>
  <mc:AlternateContent xmlns:mc="http://schemas.openxmlformats.org/markup-compatibility/2006">
    <mc:Choice Requires="x15">
      <x15ac:absPath xmlns:x15ac="http://schemas.microsoft.com/office/spreadsheetml/2010/11/ac" url="/Users/calexzz/Desktop/University/Informat/excelLesson/"/>
    </mc:Choice>
  </mc:AlternateContent>
  <xr:revisionPtr revIDLastSave="0" documentId="13_ncr:1_{76E2BD20-95E3-764E-BCCF-7FD504F1E72E}" xr6:coauthVersionLast="47" xr6:coauthVersionMax="47" xr10:uidLastSave="{00000000-0000-0000-0000-000000000000}"/>
  <bookViews>
    <workbookView xWindow="320" yWindow="1080" windowWidth="29920" windowHeight="18560" xr2:uid="{4D442BA6-B1DB-974A-BF52-516F96F9941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B3" i="1"/>
  <c r="B4" i="1"/>
  <c r="B5" i="1"/>
  <c r="B6" i="1"/>
  <c r="B7" i="1"/>
  <c r="B8" i="1"/>
  <c r="B9" i="1"/>
  <c r="B10" i="1"/>
  <c r="B11" i="1"/>
  <c r="B12" i="1"/>
  <c r="B13" i="1"/>
  <c r="B2" i="1"/>
  <c r="D18" i="2"/>
  <c r="D17" i="2"/>
  <c r="C15" i="2"/>
  <c r="D15" i="2"/>
  <c r="E15" i="2"/>
  <c r="B15" i="2"/>
  <c r="D2" i="1" l="1"/>
  <c r="B14" i="1"/>
  <c r="C14" i="1"/>
  <c r="D8" i="1"/>
  <c r="E8" i="1" s="1"/>
  <c r="D13" i="1"/>
  <c r="E13" i="1" s="1"/>
  <c r="D9" i="1"/>
  <c r="E9" i="1" s="1"/>
  <c r="D6" i="1"/>
  <c r="E6" i="1" s="1"/>
  <c r="D7" i="1"/>
  <c r="E7" i="1" s="1"/>
  <c r="D10" i="1"/>
  <c r="E10" i="1" s="1"/>
  <c r="D12" i="1"/>
  <c r="E12" i="1" s="1"/>
  <c r="D3" i="1"/>
  <c r="D4" i="1"/>
  <c r="E4" i="1" s="1"/>
  <c r="D5" i="1"/>
  <c r="E5" i="1" s="1"/>
  <c r="D11" i="1"/>
  <c r="E11" i="1" s="1"/>
  <c r="E3" i="1" l="1"/>
  <c r="A18" i="1"/>
  <c r="E2" i="1"/>
  <c r="A17" i="1"/>
  <c r="D23" i="1"/>
  <c r="D21" i="1"/>
  <c r="D18" i="1"/>
  <c r="D17" i="1"/>
  <c r="D14" i="1"/>
  <c r="E14" i="1" l="1"/>
</calcChain>
</file>

<file path=xl/sharedStrings.xml><?xml version="1.0" encoding="utf-8"?>
<sst xmlns="http://schemas.openxmlformats.org/spreadsheetml/2006/main" count="44" uniqueCount="26">
  <si>
    <t>месяц</t>
  </si>
  <si>
    <t>доход</t>
  </si>
  <si>
    <t>расход</t>
  </si>
  <si>
    <t>прибыль</t>
  </si>
  <si>
    <t>налог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</si>
  <si>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</si>
  <si>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</si>
  <si>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</si>
  <si>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</si>
  <si>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</si>
  <si>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</si>
  <si>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</si>
  <si>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</si>
  <si>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</si>
  <si>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</si>
  <si>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</si>
  <si>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</si>
  <si>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нс</t>
  </si>
  <si>
    <t>ИТОГО</t>
  </si>
  <si>
    <t>мин прибыль</t>
  </si>
  <si>
    <t>макс прибыль</t>
  </si>
  <si>
    <t>сред</t>
  </si>
  <si>
    <t>медиана</t>
  </si>
  <si>
    <t>Итого:</t>
  </si>
  <si>
    <t>Месяц наибольшей прибыли:</t>
  </si>
  <si>
    <t>Наибольшая прибыль: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</si>
</sst>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charset val="204"/>
      <scheme val="minor"/>
    </font>
    <font>
      <sz val="8"/>
      <name val="Aptos Narrow"/>
      <family val="2"/>
      <charset val="204"/>
      <scheme val="minor"/>
    </font>
    <font>
      <sz val="12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3" borderId="1" xfId="0" applyFill="1" applyBorder="1"/>
    <xf numFmtId="9" fontId="0" fillId="3" borderId="1" xfId="0" applyNumberFormat="1" applyFill="1" applyBorder="1"/>
    <xf numFmtId="2" fontId="0" fillId="2" borderId="1" xfId="0" applyNumberFormat="1" applyFill="1" applyBorder="1" applyProtection="1">
      <protection locked="0"/>
    </xf>
    <xf numFmtId="0" fontId="0" fillId="4" borderId="0" xfId="0" applyFill="1"/>
    <xf numFmtId="2" fontId="0" fillId="0" borderId="1" xfId="0" applyNumberFormat="1" applyBorder="1"/>
    <xf numFmtId="2" fontId="0" fillId="5" borderId="1" xfId="0" applyNumberFormat="1" applyFill="1" applyBorder="1"/>
    <xf numFmtId="2" fontId="0" fillId="0" borderId="0" xfId="0" applyNumberFormat="1"/>
    <xf numFmtId="0" fontId="0" fillId="6" borderId="1" xfId="0" applyFill="1" applyBorder="1"/>
    <xf numFmtId="2" fontId="0" fillId="4" borderId="1" xfId="0" applyNumberFormat="1" applyFill="1" applyBorder="1"/>
    <xf numFmtId="0" fontId="0" fillId="4" borderId="1" xfId="0" applyFill="1" applyBorder="1"/>
    <xf numFmtId="0" fontId="0" fillId="0" borderId="1" xfId="0" applyBorder="1" applyAlignment="1">
      <alignment horizontal="left"/>
    </xf>
    <xf numFmtId="2" fontId="0" fillId="0" borderId="1" xfId="0" applyNumberFormat="1" applyFill="1" applyBorder="1"/>
    <xf numFmtId="2" fontId="0" fillId="0" borderId="1" xfId="0" applyNumberFormat="1" applyFill="1" applyBorder="1" applyProtection="1">
      <protection locked="0"/>
    </xf>
    <xf numFmtId="0" fontId="0" fillId="0" borderId="1" xfId="0" applyFill="1" applyBorder="1"/>
  </cellXfs>
  <cellStyles count="1">
    <cellStyle name="Обычный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Лист1!$D$1</c:f>
              <c:strCache>
                <c:ptCount val="1"/>
                <c:pt idx="0">
                  <c:v>прибыль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Лист1!$A$2:$A$13</c:f>
              <c:strCache>
                <c:ptCount val="12"/>
                <c:pt idx="0">
                  <c:v>январь</c:v>
                </c:pt>
                <c:pt idx="1">
                  <c:v>февраль</c:v>
                </c:pt>
                <c:pt idx="2">
                  <c:v>март</c:v>
                </c:pt>
                <c:pt idx="3">
                  <c:v>апрель</c:v>
                </c:pt>
                <c:pt idx="4">
                  <c:v>май</c:v>
                </c:pt>
                <c:pt idx="5">
                  <c:v>июнь</c:v>
                </c:pt>
                <c:pt idx="6">
                  <c:v>июль</c:v>
                </c:pt>
                <c:pt idx="7">
                  <c:v>август</c:v>
                </c:pt>
                <c:pt idx="8">
                  <c:v>сентябрь</c:v>
                </c:pt>
                <c:pt idx="9">
                  <c:v>октябрь</c:v>
                </c:pt>
                <c:pt idx="10">
                  <c:v>ноябрь</c:v>
                </c:pt>
                <c:pt idx="11">
                  <c:v>декабрь</c:v>
                </c:pt>
              </c:strCache>
            </c:strRef>
          </c:cat>
          <c:val>
            <c:numRef>
              <c:f>Лист1!$D$2:$D$13</c:f>
              <c:numCache>
                <c:formatCode>0.00</c:formatCode>
                <c:ptCount val="12"/>
                <c:pt idx="0">
                  <c:v>62</c:v>
                </c:pt>
                <c:pt idx="1">
                  <c:v>47</c:v>
                </c:pt>
                <c:pt idx="2">
                  <c:v>432</c:v>
                </c:pt>
                <c:pt idx="3">
                  <c:v>153</c:v>
                </c:pt>
                <c:pt idx="4">
                  <c:v>-31</c:v>
                </c:pt>
                <c:pt idx="5">
                  <c:v>604</c:v>
                </c:pt>
                <c:pt idx="6">
                  <c:v>-330</c:v>
                </c:pt>
                <c:pt idx="7">
                  <c:v>131</c:v>
                </c:pt>
                <c:pt idx="8">
                  <c:v>-553</c:v>
                </c:pt>
                <c:pt idx="9">
                  <c:v>293</c:v>
                </c:pt>
                <c:pt idx="10">
                  <c:v>161</c:v>
                </c:pt>
                <c:pt idx="11">
                  <c:v>-439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5A-8A44-B270-C2A771467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455408"/>
        <c:axId val="531475104"/>
      </c:lineChart>
      <c:catAx>
        <c:axId val="53145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475104"/>
        <c:crosses val="autoZero"/>
        <c:auto val="1"/>
        <c:lblAlgn val="ctr"/>
        <c:lblOffset val="100"/>
        <c:noMultiLvlLbl val="0"/>
      </c:catAx>
      <c:valAx>
        <c:axId val="531475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314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426360</xdr:colOff>
      <xdr:row>2</xdr:row>
      <xdr:rowOff>69362</xdr:rowOff>
    </xdr:from>
    <xdr:to>
      <xdr:col>13</xdr:col>
      <xdr:colOff>16052</xdr:colOff>
      <xdr:row>15</xdr:row>
      <xdr:rowOff>145562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F0A606C-674F-DBDB-CD3A-F7BF470E5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355600</xdr:colOff>
          <xdr:row>2</xdr:row>
          <xdr:rowOff>12700</xdr:rowOff>
        </xdr:from>
        <xdr:to>
          <xdr:col>7</xdr:col>
          <xdr:colOff>228600</xdr:colOff>
          <xdr:row>3</xdr:row>
          <xdr:rowOff>203200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5</xdr:row>
          <xdr:rowOff>12700</xdr:rowOff>
        </xdr:from>
        <xdr:to>
          <xdr:col>7</xdr:col>
          <xdr:colOff>215900</xdr:colOff>
          <xdr:row>6</xdr:row>
          <xdr:rowOff>190500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A9606-7618-CA4B-A2B0-60C1BD25663E}">
  <sheetPr codeName="Лист1"/>
  <dimension ref="A1:L23"/>
  <sheetViews>
    <sheetView tabSelected="1" zoomScale="140" zoomScaleNormal="140" workbookViewId="0">
      <selection activeCell="H25" sqref="H25"/>
    </sheetView>
  </sheetViews>
  <sheetFormatPr baseColWidth="10" defaultRowHeight="16" outlineLevelRow="1" outlineLevelCol="1" x14ac:dyDescent="0.2"/>
  <cols>
    <col min="2" max="4" width="10.83203125" customWidth="1" outlineLevel="1"/>
  </cols>
  <sheetData>
    <row r="1" spans="1:12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K1" s="2" t="s">
        <v>17</v>
      </c>
      <c r="L1" s="3">
        <v>0.13</v>
      </c>
    </row>
    <row r="2" spans="1:12" outlineLevel="1" x14ac:dyDescent="0.2">
      <c r="A2" s="9" t="s">
        <v>5</v>
      </c>
      <c r="B2" s="4">
        <f t="shared" ref="B2:C13" ca="1" si="0">RANDBETWEEN(0,1000)</f>
        <v>668</v>
      </c>
      <c r="C2" s="4">
        <f t="shared" ca="1" si="0"/>
        <v>606</v>
      </c>
      <c r="D2" s="6">
        <f ca="1">B2-C2</f>
        <v>62</v>
      </c>
      <c r="E2" s="1">
        <f ca="1">IF(D2&gt;0,D2*$L$1,0)</f>
        <v>8.06</v>
      </c>
    </row>
    <row r="3" spans="1:12" outlineLevel="1" x14ac:dyDescent="0.2">
      <c r="A3" s="9" t="s">
        <v>6</v>
      </c>
      <c r="B3" s="4">
        <f t="shared" ca="1" si="0"/>
        <v>727</v>
      </c>
      <c r="C3" s="4">
        <f t="shared" ca="1" si="0"/>
        <v>680</v>
      </c>
      <c r="D3" s="6">
        <f t="shared" ref="D3:D13" ca="1" si="1">B3-C3</f>
        <v>47</v>
      </c>
      <c r="E3" s="1">
        <f ca="1">IF(D3&gt;0,D3*$L$1,0)</f>
        <v>6.11</v>
      </c>
    </row>
    <row r="4" spans="1:12" outlineLevel="1" x14ac:dyDescent="0.2">
      <c r="A4" s="9" t="s">
        <v>7</v>
      </c>
      <c r="B4" s="4">
        <f t="shared" ca="1" si="0"/>
        <v>481</v>
      </c>
      <c r="C4" s="4">
        <f t="shared" ca="1" si="0"/>
        <v>49</v>
      </c>
      <c r="D4" s="6">
        <f t="shared" ca="1" si="1"/>
        <v>432</v>
      </c>
      <c r="E4" s="1">
        <f ca="1">IF(D4&gt;0,D4*$L$1,0)</f>
        <v>56.160000000000004</v>
      </c>
    </row>
    <row r="5" spans="1:12" outlineLevel="1" x14ac:dyDescent="0.2">
      <c r="A5" s="9" t="s">
        <v>8</v>
      </c>
      <c r="B5" s="4">
        <f t="shared" ca="1" si="0"/>
        <v>927</v>
      </c>
      <c r="C5" s="4">
        <f t="shared" ca="1" si="0"/>
        <v>774</v>
      </c>
      <c r="D5" s="6">
        <f t="shared" ca="1" si="1"/>
        <v>153</v>
      </c>
      <c r="E5" s="1">
        <f ca="1">IF(D5&gt;0,D5*$L$1,0)</f>
        <v>19.89</v>
      </c>
    </row>
    <row r="6" spans="1:12" outlineLevel="1" x14ac:dyDescent="0.2">
      <c r="A6" s="9" t="s">
        <v>9</v>
      </c>
      <c r="B6" s="4">
        <f t="shared" ca="1" si="0"/>
        <v>283</v>
      </c>
      <c r="C6" s="4">
        <f t="shared" ca="1" si="0"/>
        <v>314</v>
      </c>
      <c r="D6" s="6">
        <f t="shared" ca="1" si="1"/>
        <v>-31</v>
      </c>
      <c r="E6" s="1">
        <f t="shared" ref="E6:E13" ca="1" si="2">IF(D6&gt;0,D6*$L$1,0)</f>
        <v>0</v>
      </c>
    </row>
    <row r="7" spans="1:12" outlineLevel="1" x14ac:dyDescent="0.2">
      <c r="A7" s="9" t="s">
        <v>10</v>
      </c>
      <c r="B7" s="4">
        <f t="shared" ca="1" si="0"/>
        <v>896</v>
      </c>
      <c r="C7" s="4">
        <f t="shared" ca="1" si="0"/>
        <v>292</v>
      </c>
      <c r="D7" s="6">
        <f t="shared" ca="1" si="1"/>
        <v>604</v>
      </c>
      <c r="E7" s="1">
        <f t="shared" ca="1" si="2"/>
        <v>78.52</v>
      </c>
    </row>
    <row r="8" spans="1:12" outlineLevel="1" x14ac:dyDescent="0.2">
      <c r="A8" s="9" t="s">
        <v>11</v>
      </c>
      <c r="B8" s="4">
        <f t="shared" ca="1" si="0"/>
        <v>240</v>
      </c>
      <c r="C8" s="4">
        <f t="shared" ca="1" si="0"/>
        <v>570</v>
      </c>
      <c r="D8" s="6">
        <f t="shared" ca="1" si="1"/>
        <v>-330</v>
      </c>
      <c r="E8" s="1">
        <f t="shared" ca="1" si="2"/>
        <v>0</v>
      </c>
    </row>
    <row r="9" spans="1:12" outlineLevel="1" x14ac:dyDescent="0.2">
      <c r="A9" s="9" t="s">
        <v>12</v>
      </c>
      <c r="B9" s="4">
        <f t="shared" ca="1" si="0"/>
        <v>257</v>
      </c>
      <c r="C9" s="4">
        <f t="shared" ca="1" si="0"/>
        <v>126</v>
      </c>
      <c r="D9" s="6">
        <f t="shared" ca="1" si="1"/>
        <v>131</v>
      </c>
      <c r="E9" s="1">
        <f t="shared" ca="1" si="2"/>
        <v>17.03</v>
      </c>
    </row>
    <row r="10" spans="1:12" outlineLevel="1" x14ac:dyDescent="0.2">
      <c r="A10" s="9" t="s">
        <v>13</v>
      </c>
      <c r="B10" s="4">
        <f t="shared" ca="1" si="0"/>
        <v>397</v>
      </c>
      <c r="C10" s="4">
        <f t="shared" ca="1" si="0"/>
        <v>950</v>
      </c>
      <c r="D10" s="6">
        <f t="shared" ca="1" si="1"/>
        <v>-553</v>
      </c>
      <c r="E10" s="1">
        <f t="shared" ca="1" si="2"/>
        <v>0</v>
      </c>
    </row>
    <row r="11" spans="1:12" outlineLevel="1" x14ac:dyDescent="0.2">
      <c r="A11" s="9" t="s">
        <v>14</v>
      </c>
      <c r="B11" s="4">
        <f t="shared" ca="1" si="0"/>
        <v>683</v>
      </c>
      <c r="C11" s="4">
        <f t="shared" ca="1" si="0"/>
        <v>390</v>
      </c>
      <c r="D11" s="6">
        <f t="shared" ca="1" si="1"/>
        <v>293</v>
      </c>
      <c r="E11" s="1">
        <f t="shared" ca="1" si="2"/>
        <v>38.090000000000003</v>
      </c>
    </row>
    <row r="12" spans="1:12" outlineLevel="1" x14ac:dyDescent="0.2">
      <c r="A12" s="9" t="s">
        <v>15</v>
      </c>
      <c r="B12" s="4">
        <f t="shared" ca="1" si="0"/>
        <v>362</v>
      </c>
      <c r="C12" s="4">
        <f t="shared" ca="1" si="0"/>
        <v>201</v>
      </c>
      <c r="D12" s="6">
        <f t="shared" ca="1" si="1"/>
        <v>161</v>
      </c>
      <c r="E12" s="1">
        <f t="shared" ca="1" si="2"/>
        <v>20.93</v>
      </c>
    </row>
    <row r="13" spans="1:12" outlineLevel="1" x14ac:dyDescent="0.2">
      <c r="A13" s="9" t="s">
        <v>16</v>
      </c>
      <c r="B13" s="4">
        <f t="shared" ca="1" si="0"/>
        <v>513</v>
      </c>
      <c r="C13" s="4">
        <f t="shared" ca="1" si="0"/>
        <v>952</v>
      </c>
      <c r="D13" s="6">
        <f t="shared" ca="1" si="1"/>
        <v>-439</v>
      </c>
      <c r="E13" s="1">
        <f t="shared" ca="1" si="2"/>
        <v>0</v>
      </c>
    </row>
    <row r="14" spans="1:12" x14ac:dyDescent="0.2">
      <c r="A14" s="9" t="s">
        <v>18</v>
      </c>
      <c r="B14" s="6">
        <f ca="1">SUM(B2:B13)</f>
        <v>6434</v>
      </c>
      <c r="C14" s="6">
        <f t="shared" ref="C14:E14" ca="1" si="3">SUM(C2:C13)</f>
        <v>5904</v>
      </c>
      <c r="D14" s="6">
        <f t="shared" ca="1" si="3"/>
        <v>530</v>
      </c>
      <c r="E14" s="6">
        <f t="shared" ca="1" si="3"/>
        <v>244.79000000000002</v>
      </c>
    </row>
    <row r="17" spans="1:6" x14ac:dyDescent="0.2">
      <c r="A17" s="5" t="str">
        <f ca="1">INDEX(A2:A13,MATCH(MIN(D2:D13),D2:D13,0))</f>
        <v>сентябрь</v>
      </c>
      <c r="D17" s="5">
        <f ca="1">MIN(D2:D13)</f>
        <v>-553</v>
      </c>
      <c r="F17" t="s">
        <v>19</v>
      </c>
    </row>
    <row r="18" spans="1:6" x14ac:dyDescent="0.2">
      <c r="A18" s="5" t="str">
        <f ca="1">INDEX(A2:A13,MATCH(MAX(D2:D13),D2:D13,0))</f>
        <v>июнь</v>
      </c>
      <c r="D18" s="5">
        <f ca="1">MAX(D2:D13)</f>
        <v>604</v>
      </c>
      <c r="F18" t="s">
        <v>20</v>
      </c>
    </row>
    <row r="21" spans="1:6" x14ac:dyDescent="0.2">
      <c r="D21" s="5">
        <f ca="1">AVERAGE(D2:D13)</f>
        <v>44.166666666666664</v>
      </c>
      <c r="F21" t="s">
        <v>21</v>
      </c>
    </row>
    <row r="23" spans="1:6" x14ac:dyDescent="0.2">
      <c r="D23" s="5">
        <f ca="1">MEDIAN(D2:D13)</f>
        <v>96.5</v>
      </c>
      <c r="F23" t="s">
        <v>22</v>
      </c>
    </row>
  </sheetData>
  <sheetProtection sheet="1" objects="1" scenarios="1" sort="0" autoFilter="0"/>
  <phoneticPr fontId="1" type="noConversion"/>
  <conditionalFormatting sqref="D1:D13 D15:D1048576">
    <cfRule type="cellIs" dxfId="3" priority="1" operator="lessThan">
      <formula>0</formula>
    </cfRule>
    <cfRule type="cellIs" dxfId="2" priority="3" operator="lessThan">
      <formula>0</formula>
    </cfRule>
  </conditionalFormatting>
  <dataValidations count="1">
    <dataValidation type="decimal" operator="greaterThanOrEqual" allowBlank="1" showInputMessage="1" showErrorMessage="1" errorTitle="ОШИБКА ВВОДА" error="Введите число больше нуля" promptTitle="Ввод данных" prompt="Вводи неотрицательные числа" sqref="B2:C13" xr:uid="{430A2645-CEC2-3846-A3BE-D37C6017F840}">
      <formula1>0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97286-F55E-814F-BD6C-1391E8D5DC26}">
  <sheetPr codeName="Лист2"/>
  <dimension ref="A1:I18"/>
  <sheetViews>
    <sheetView zoomScale="130" zoomScaleNormal="130" workbookViewId="0">
      <selection activeCell="J12" sqref="J12"/>
    </sheetView>
  </sheetViews>
  <sheetFormatPr baseColWidth="10" defaultRowHeight="16" outlineLevelRow="1" x14ac:dyDescent="0.2"/>
  <sheetData>
    <row r="1" spans="1:9" x14ac:dyDescent="0.2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H1" s="2" t="s">
        <v>17</v>
      </c>
      <c r="I1" s="3">
        <v>0.13</v>
      </c>
    </row>
    <row r="2" spans="1:9" outlineLevel="1" x14ac:dyDescent="0.2">
      <c r="A2" s="9" t="s">
        <v>5</v>
      </c>
      <c r="B2" s="14">
        <v>48395</v>
      </c>
      <c r="C2" s="14">
        <v>30464</v>
      </c>
      <c r="D2" s="13">
        <v>17931</v>
      </c>
      <c r="E2" s="15">
        <v>2331.0300000000002</v>
      </c>
    </row>
    <row r="3" spans="1:9" outlineLevel="1" x14ac:dyDescent="0.2">
      <c r="A3" s="9" t="s">
        <v>6</v>
      </c>
      <c r="B3" s="14">
        <v>94652</v>
      </c>
      <c r="C3" s="14">
        <v>14654</v>
      </c>
      <c r="D3" s="13">
        <v>79998</v>
      </c>
      <c r="E3" s="15">
        <v>10399.74</v>
      </c>
    </row>
    <row r="4" spans="1:9" outlineLevel="1" x14ac:dyDescent="0.2">
      <c r="A4" s="9" t="s">
        <v>7</v>
      </c>
      <c r="B4" s="14">
        <v>85698</v>
      </c>
      <c r="C4" s="14">
        <v>73170</v>
      </c>
      <c r="D4" s="13">
        <v>12528</v>
      </c>
      <c r="E4" s="15">
        <v>1628.64</v>
      </c>
    </row>
    <row r="5" spans="1:9" outlineLevel="1" x14ac:dyDescent="0.2">
      <c r="A5" s="9" t="s">
        <v>8</v>
      </c>
      <c r="B5" s="14">
        <v>27691</v>
      </c>
      <c r="C5" s="14">
        <v>57066</v>
      </c>
      <c r="D5" s="7">
        <v>-29375</v>
      </c>
      <c r="E5" s="15">
        <v>0</v>
      </c>
    </row>
    <row r="6" spans="1:9" outlineLevel="1" x14ac:dyDescent="0.2">
      <c r="A6" s="9" t="s">
        <v>9</v>
      </c>
      <c r="B6" s="14">
        <v>58877</v>
      </c>
      <c r="C6" s="14">
        <v>77386</v>
      </c>
      <c r="D6" s="7">
        <v>-18509</v>
      </c>
      <c r="E6" s="15">
        <v>0</v>
      </c>
    </row>
    <row r="7" spans="1:9" outlineLevel="1" x14ac:dyDescent="0.2">
      <c r="A7" s="9" t="s">
        <v>10</v>
      </c>
      <c r="B7" s="14">
        <v>68778</v>
      </c>
      <c r="C7" s="14">
        <v>97599</v>
      </c>
      <c r="D7" s="7">
        <v>-28821</v>
      </c>
      <c r="E7" s="15">
        <v>0</v>
      </c>
    </row>
    <row r="8" spans="1:9" outlineLevel="1" x14ac:dyDescent="0.2">
      <c r="A8" s="9" t="s">
        <v>11</v>
      </c>
      <c r="B8" s="14">
        <v>70894</v>
      </c>
      <c r="C8" s="14">
        <v>65482</v>
      </c>
      <c r="D8" s="13">
        <v>5412</v>
      </c>
      <c r="E8" s="15">
        <v>703.56000000000006</v>
      </c>
    </row>
    <row r="9" spans="1:9" outlineLevel="1" x14ac:dyDescent="0.2">
      <c r="A9" s="9" t="s">
        <v>12</v>
      </c>
      <c r="B9" s="14">
        <v>57054</v>
      </c>
      <c r="C9" s="14">
        <v>80</v>
      </c>
      <c r="D9" s="13">
        <v>56974</v>
      </c>
      <c r="E9" s="15">
        <v>7406.62</v>
      </c>
    </row>
    <row r="10" spans="1:9" outlineLevel="1" x14ac:dyDescent="0.2">
      <c r="A10" s="9" t="s">
        <v>13</v>
      </c>
      <c r="B10" s="14">
        <v>86524</v>
      </c>
      <c r="C10" s="14">
        <v>74377</v>
      </c>
      <c r="D10" s="13">
        <v>12147</v>
      </c>
      <c r="E10" s="15">
        <v>1579.1100000000001</v>
      </c>
    </row>
    <row r="11" spans="1:9" outlineLevel="1" x14ac:dyDescent="0.2">
      <c r="A11" s="9" t="s">
        <v>14</v>
      </c>
      <c r="B11" s="14">
        <v>88010</v>
      </c>
      <c r="C11" s="14">
        <v>59288</v>
      </c>
      <c r="D11" s="13">
        <v>28722</v>
      </c>
      <c r="E11" s="15">
        <v>3733.86</v>
      </c>
    </row>
    <row r="12" spans="1:9" outlineLevel="1" x14ac:dyDescent="0.2">
      <c r="A12" s="9" t="s">
        <v>15</v>
      </c>
      <c r="B12" s="14">
        <v>77674</v>
      </c>
      <c r="C12" s="14">
        <v>19606</v>
      </c>
      <c r="D12" s="13">
        <v>58068</v>
      </c>
      <c r="E12" s="15">
        <v>7548.84</v>
      </c>
    </row>
    <row r="13" spans="1:9" outlineLevel="1" x14ac:dyDescent="0.2">
      <c r="A13" s="9" t="s">
        <v>16</v>
      </c>
      <c r="B13" s="14">
        <v>21294</v>
      </c>
      <c r="C13" s="14">
        <v>77525</v>
      </c>
      <c r="D13" s="7">
        <v>-56231</v>
      </c>
      <c r="E13" s="15">
        <v>0</v>
      </c>
    </row>
    <row r="14" spans="1:9" x14ac:dyDescent="0.2">
      <c r="B14" s="8"/>
      <c r="C14" s="8"/>
      <c r="D14" s="8"/>
      <c r="E14" s="8"/>
    </row>
    <row r="15" spans="1:9" x14ac:dyDescent="0.2">
      <c r="A15" s="9" t="s">
        <v>23</v>
      </c>
      <c r="B15" s="6">
        <f>SUM(B2:B13)</f>
        <v>785541</v>
      </c>
      <c r="C15" s="6">
        <f t="shared" ref="C15:E15" si="0">SUM(C2:C13)</f>
        <v>646697</v>
      </c>
      <c r="D15" s="6">
        <f t="shared" si="0"/>
        <v>138844</v>
      </c>
      <c r="E15" s="6">
        <f t="shared" si="0"/>
        <v>35331.4</v>
      </c>
    </row>
    <row r="17" spans="1:5" x14ac:dyDescent="0.2">
      <c r="A17" s="12" t="s">
        <v>25</v>
      </c>
      <c r="B17" s="12"/>
      <c r="C17" s="12"/>
      <c r="D17" s="10">
        <f>MAX(D2:D13)</f>
        <v>79998</v>
      </c>
      <c r="E17" s="1"/>
    </row>
    <row r="18" spans="1:5" x14ac:dyDescent="0.2">
      <c r="A18" s="12" t="s">
        <v>24</v>
      </c>
      <c r="B18" s="12"/>
      <c r="C18" s="12"/>
      <c r="D18" s="11" t="str">
        <f>INDEX(A2:A13,MATCH(MAX(D2:D13),D2:D13,0))</f>
        <v>февраль</v>
      </c>
      <c r="E18" s="1"/>
    </row>
  </sheetData>
  <mergeCells count="2">
    <mergeCell ref="A17:C17"/>
    <mergeCell ref="A18:C18"/>
  </mergeCells>
  <conditionalFormatting sqref="D1:D13">
    <cfRule type="cellIs" dxfId="1" priority="1" operator="lessThan">
      <formula>0</formula>
    </cfRule>
    <cfRule type="cellIs" dxfId="0" priority="2" operator="lessThan">
      <formula>0</formula>
    </cfRule>
  </conditionalFormatting>
  <dataValidations count="1">
    <dataValidation type="decimal" operator="greaterThanOrEqual" allowBlank="1" showInputMessage="1" showErrorMessage="1" errorTitle="ОШИБКА ВВОДА" error="Введите число больше нуля" promptTitle="Ввод данных" prompt="Вводи неотрицательные числа" sqref="B2:C13" xr:uid="{0F711124-38D4-7D42-B287-80189E7077A1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РассчитатьДоходы">
                <anchor moveWithCells="1" sizeWithCells="1">
                  <from>
                    <xdr:col>5</xdr:col>
                    <xdr:colOff>355600</xdr:colOff>
                    <xdr:row>2</xdr:row>
                    <xdr:rowOff>12700</xdr:rowOff>
                  </from>
                  <to>
                    <xdr:col>7</xdr:col>
                    <xdr:colOff>228600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Очистить">
                <anchor moveWithCells="1" sizeWithCells="1">
                  <from>
                    <xdr:col>5</xdr:col>
                    <xdr:colOff>342900</xdr:colOff>
                    <xdr:row>5</xdr:row>
                    <xdr:rowOff>12700</xdr:rowOff>
                  </from>
                  <to>
                    <xdr:col>7</xdr:col>
                    <xdr:colOff>215900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calexzz</dc:creator>
  <cp:lastModifiedBy>calexzz</cp:lastModifiedBy>
  <dcterms:created xsi:type="dcterms:W3CDTF">2025-10-29T07:33:07Z</dcterms:created>
  <dcterms:modified xsi:type="dcterms:W3CDTF">2025-11-02T13:25:19Z</dcterms:modified>
</cp:coreProperties>
</file>