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excelLesson/"/>
    </mc:Choice>
  </mc:AlternateContent>
  <xr:revisionPtr revIDLastSave="0" documentId="13_ncr:1_{8FFB4751-CDA3-FE45-9BA8-58233102FBAA}" xr6:coauthVersionLast="47" xr6:coauthVersionMax="47" xr10:uidLastSave="{00000000-0000-0000-0000-000000000000}"/>
  <bookViews>
    <workbookView xWindow="160" yWindow="920" windowWidth="29920" windowHeight="18560" xr2:uid="{4D442BA6-B1DB-974A-BF52-516F96F9941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C2" i="1"/>
  <c r="B2" i="1"/>
  <c r="D2" i="1" l="1"/>
  <c r="B14" i="1"/>
  <c r="C14" i="1"/>
  <c r="D8" i="1"/>
  <c r="E8" i="1" s="1"/>
  <c r="D13" i="1"/>
  <c r="E13" i="1" s="1"/>
  <c r="D9" i="1"/>
  <c r="E9" i="1" s="1"/>
  <c r="D6" i="1"/>
  <c r="E6" i="1" s="1"/>
  <c r="D7" i="1"/>
  <c r="E7" i="1" s="1"/>
  <c r="D10" i="1"/>
  <c r="E10" i="1" s="1"/>
  <c r="D12" i="1"/>
  <c r="E12" i="1" s="1"/>
  <c r="D3" i="1"/>
  <c r="D4" i="1"/>
  <c r="E4" i="1" s="1"/>
  <c r="D5" i="1"/>
  <c r="E5" i="1" s="1"/>
  <c r="D11" i="1"/>
  <c r="E11" i="1" s="1"/>
  <c r="A18" i="1" l="1"/>
  <c r="E2" i="1"/>
  <c r="A17" i="1"/>
  <c r="E3" i="1"/>
  <c r="D23" i="1"/>
  <c r="D21" i="1"/>
  <c r="D18" i="1"/>
  <c r="D17" i="1"/>
  <c r="E14" i="1"/>
  <c r="D14" i="1"/>
</calcChain>
</file>

<file path=xl/sharedStrings.xml><?xml version="1.0" encoding="utf-8"?>
<sst xmlns="http://schemas.openxmlformats.org/spreadsheetml/2006/main" count="40" uniqueCount="23">
  <si>
    <t>месяц</t>
  </si>
  <si>
    <t>доход</t>
  </si>
  <si>
    <t>расход</t>
  </si>
  <si>
    <t>прибыль</t>
  </si>
  <si>
    <t>налог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</si>
  <si>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</si>
  <si>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</si>
  <si>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</si>
  <si>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</si>
  <si>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</si>
  <si>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</si>
  <si>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</si>
  <si>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</si>
  <si>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</si>
  <si>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</si>
  <si>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</si>
  <si>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</si>
  <si>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нс</t>
  </si>
  <si>
    <t>ИТОГО</t>
  </si>
  <si>
    <t>мин прибыль</t>
  </si>
  <si>
    <t>макс прибыль</t>
  </si>
  <si>
    <t>сред</t>
  </si>
  <si>
    <t>медиана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</si>
</sst>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3" borderId="1" xfId="0" applyFill="1" applyBorder="1"/>
    <xf numFmtId="9" fontId="0" fillId="3" borderId="1" xfId="0" applyNumberFormat="1" applyFill="1" applyBorder="1"/>
    <xf numFmtId="2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2" xfId="0" applyBorder="1"/>
    <xf numFmtId="2" fontId="0" fillId="0" borderId="0" xfId="0" applyNumberFormat="1"/>
    <xf numFmtId="0" fontId="0" fillId="4" borderId="0" xfId="0" applyFill="1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Лист1!$A$2:$A$13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Лист1!$D$2:$D$13</c:f>
              <c:numCache>
                <c:formatCode>General</c:formatCode>
                <c:ptCount val="12"/>
                <c:pt idx="0">
                  <c:v>-909</c:v>
                </c:pt>
                <c:pt idx="1">
                  <c:v>79</c:v>
                </c:pt>
                <c:pt idx="2">
                  <c:v>720</c:v>
                </c:pt>
                <c:pt idx="3">
                  <c:v>-420</c:v>
                </c:pt>
                <c:pt idx="4">
                  <c:v>-150</c:v>
                </c:pt>
                <c:pt idx="5">
                  <c:v>53</c:v>
                </c:pt>
                <c:pt idx="6">
                  <c:v>50</c:v>
                </c:pt>
                <c:pt idx="7">
                  <c:v>-271</c:v>
                </c:pt>
                <c:pt idx="8">
                  <c:v>-4</c:v>
                </c:pt>
                <c:pt idx="9">
                  <c:v>-449</c:v>
                </c:pt>
                <c:pt idx="10">
                  <c:v>-237</c:v>
                </c:pt>
                <c:pt idx="11">
                  <c:v>-248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A-8A44-B270-C2A771467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455408"/>
        <c:axId val="531475104"/>
      </c:lineChart>
      <c:catAx>
        <c:axId val="53145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475104"/>
        <c:crosses val="autoZero"/>
        <c:auto val="1"/>
        <c:lblAlgn val="ctr"/>
        <c:lblOffset val="100"/>
        <c:noMultiLvlLbl val="0"/>
      </c:catAx>
      <c:valAx>
        <c:axId val="5314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45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426360</xdr:colOff>
      <xdr:row>2</xdr:row>
      <xdr:rowOff>69362</xdr:rowOff>
    </xdr:from>
    <xdr:to>
      <xdr:col>13</xdr:col>
      <xdr:colOff>16052</xdr:colOff>
      <xdr:row>15</xdr:row>
      <xdr:rowOff>145562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F0A606C-674F-DBDB-CD3A-F7BF470E5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482600</xdr:colOff>
          <xdr:row>1</xdr:row>
          <xdr:rowOff>38100</xdr:rowOff>
        </xdr:from>
        <xdr:to>
          <xdr:col>8</xdr:col>
          <xdr:colOff>355600</xdr:colOff>
          <xdr:row>3</xdr:row>
          <xdr:rowOff>12700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Заполнить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606-7618-CA4B-A2B0-60C1BD25663E}">
  <sheetPr codeName="Лист1"/>
  <dimension ref="A1:L23"/>
  <sheetViews>
    <sheetView tabSelected="1" zoomScale="140" zoomScaleNormal="140" workbookViewId="0">
      <selection activeCell="A18" sqref="A18"/>
    </sheetView>
  </sheetViews>
  <sheetFormatPr baseColWidth="10" defaultRowHeight="16" outlineLevelRow="1" outlineLevelCol="1" x14ac:dyDescent="0.2"/>
  <cols>
    <col min="2" max="4" width="10.83203125" customWidth="1" outlineLevel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2" t="s">
        <v>17</v>
      </c>
      <c r="L1" s="3">
        <v>0.13</v>
      </c>
    </row>
    <row r="2" spans="1:12" outlineLevel="1" x14ac:dyDescent="0.2">
      <c r="A2" s="1" t="s">
        <v>5</v>
      </c>
      <c r="B2" s="4">
        <f ca="1">RANDBETWEEN(0,1000)</f>
        <v>74</v>
      </c>
      <c r="C2" s="5">
        <f ca="1">RANDBETWEEN(0,1000)</f>
        <v>983</v>
      </c>
      <c r="D2" s="1">
        <f ca="1">B2-C2</f>
        <v>-909</v>
      </c>
      <c r="E2" s="1">
        <f ca="1">IF(D2&gt;0,D2*$L$1,0)</f>
        <v>0</v>
      </c>
    </row>
    <row r="3" spans="1:12" outlineLevel="1" x14ac:dyDescent="0.2">
      <c r="A3" s="1" t="s">
        <v>6</v>
      </c>
      <c r="B3" s="4">
        <f t="shared" ref="B3:C13" ca="1" si="0">RANDBETWEEN(0,1000)</f>
        <v>617</v>
      </c>
      <c r="C3" s="5">
        <f t="shared" ca="1" si="0"/>
        <v>538</v>
      </c>
      <c r="D3" s="1">
        <f t="shared" ref="D3:D13" ca="1" si="1">B3-C3</f>
        <v>79</v>
      </c>
      <c r="E3" s="1">
        <f t="shared" ref="E3:E13" ca="1" si="2">IF(D3&gt;0,D3*$L$1,0)</f>
        <v>10.27</v>
      </c>
    </row>
    <row r="4" spans="1:12" outlineLevel="1" x14ac:dyDescent="0.2">
      <c r="A4" s="1" t="s">
        <v>7</v>
      </c>
      <c r="B4" s="4">
        <f t="shared" ca="1" si="0"/>
        <v>947</v>
      </c>
      <c r="C4" s="5">
        <f t="shared" ca="1" si="0"/>
        <v>227</v>
      </c>
      <c r="D4" s="1">
        <f t="shared" ca="1" si="1"/>
        <v>720</v>
      </c>
      <c r="E4" s="1">
        <f t="shared" ca="1" si="2"/>
        <v>93.600000000000009</v>
      </c>
    </row>
    <row r="5" spans="1:12" outlineLevel="1" x14ac:dyDescent="0.2">
      <c r="A5" s="1" t="s">
        <v>8</v>
      </c>
      <c r="B5" s="4">
        <f t="shared" ca="1" si="0"/>
        <v>423</v>
      </c>
      <c r="C5" s="5">
        <f t="shared" ca="1" si="0"/>
        <v>843</v>
      </c>
      <c r="D5" s="1">
        <f t="shared" ca="1" si="1"/>
        <v>-420</v>
      </c>
      <c r="E5" s="1">
        <f ca="1">IF(D5&gt;0,D5*$L$1,0)</f>
        <v>0</v>
      </c>
    </row>
    <row r="6" spans="1:12" outlineLevel="1" x14ac:dyDescent="0.2">
      <c r="A6" s="1" t="s">
        <v>9</v>
      </c>
      <c r="B6" s="4">
        <f t="shared" ca="1" si="0"/>
        <v>732</v>
      </c>
      <c r="C6" s="5">
        <f t="shared" ca="1" si="0"/>
        <v>882</v>
      </c>
      <c r="D6" s="1">
        <f t="shared" ca="1" si="1"/>
        <v>-150</v>
      </c>
      <c r="E6" s="1">
        <f t="shared" ca="1" si="2"/>
        <v>0</v>
      </c>
    </row>
    <row r="7" spans="1:12" outlineLevel="1" x14ac:dyDescent="0.2">
      <c r="A7" s="1" t="s">
        <v>10</v>
      </c>
      <c r="B7" s="4">
        <f t="shared" ca="1" si="0"/>
        <v>821</v>
      </c>
      <c r="C7" s="5">
        <f t="shared" ca="1" si="0"/>
        <v>768</v>
      </c>
      <c r="D7" s="1">
        <f t="shared" ca="1" si="1"/>
        <v>53</v>
      </c>
      <c r="E7" s="1">
        <f t="shared" ca="1" si="2"/>
        <v>6.8900000000000006</v>
      </c>
    </row>
    <row r="8" spans="1:12" outlineLevel="1" x14ac:dyDescent="0.2">
      <c r="A8" s="1" t="s">
        <v>11</v>
      </c>
      <c r="B8" s="4">
        <f t="shared" ca="1" si="0"/>
        <v>106</v>
      </c>
      <c r="C8" s="5">
        <f t="shared" ca="1" si="0"/>
        <v>56</v>
      </c>
      <c r="D8" s="1">
        <f t="shared" ca="1" si="1"/>
        <v>50</v>
      </c>
      <c r="E8" s="1">
        <f t="shared" ca="1" si="2"/>
        <v>6.5</v>
      </c>
    </row>
    <row r="9" spans="1:12" outlineLevel="1" x14ac:dyDescent="0.2">
      <c r="A9" s="1" t="s">
        <v>12</v>
      </c>
      <c r="B9" s="4">
        <f t="shared" ca="1" si="0"/>
        <v>291</v>
      </c>
      <c r="C9" s="5">
        <f t="shared" ca="1" si="0"/>
        <v>562</v>
      </c>
      <c r="D9" s="1">
        <f t="shared" ca="1" si="1"/>
        <v>-271</v>
      </c>
      <c r="E9" s="1">
        <f t="shared" ca="1" si="2"/>
        <v>0</v>
      </c>
    </row>
    <row r="10" spans="1:12" outlineLevel="1" x14ac:dyDescent="0.2">
      <c r="A10" s="1" t="s">
        <v>13</v>
      </c>
      <c r="B10" s="4">
        <f t="shared" ca="1" si="0"/>
        <v>758</v>
      </c>
      <c r="C10" s="5">
        <f t="shared" ca="1" si="0"/>
        <v>762</v>
      </c>
      <c r="D10" s="1">
        <f t="shared" ca="1" si="1"/>
        <v>-4</v>
      </c>
      <c r="E10" s="1">
        <f t="shared" ca="1" si="2"/>
        <v>0</v>
      </c>
    </row>
    <row r="11" spans="1:12" outlineLevel="1" x14ac:dyDescent="0.2">
      <c r="A11" s="1" t="s">
        <v>14</v>
      </c>
      <c r="B11" s="4">
        <f t="shared" ca="1" si="0"/>
        <v>83</v>
      </c>
      <c r="C11" s="5">
        <f t="shared" ca="1" si="0"/>
        <v>532</v>
      </c>
      <c r="D11" s="1">
        <f t="shared" ca="1" si="1"/>
        <v>-449</v>
      </c>
      <c r="E11" s="1">
        <f t="shared" ca="1" si="2"/>
        <v>0</v>
      </c>
    </row>
    <row r="12" spans="1:12" outlineLevel="1" x14ac:dyDescent="0.2">
      <c r="A12" s="1" t="s">
        <v>15</v>
      </c>
      <c r="B12" s="4">
        <f t="shared" ca="1" si="0"/>
        <v>598</v>
      </c>
      <c r="C12" s="5">
        <f t="shared" ca="1" si="0"/>
        <v>835</v>
      </c>
      <c r="D12" s="1">
        <f t="shared" ca="1" si="1"/>
        <v>-237</v>
      </c>
      <c r="E12" s="1">
        <f t="shared" ca="1" si="2"/>
        <v>0</v>
      </c>
    </row>
    <row r="13" spans="1:12" outlineLevel="1" x14ac:dyDescent="0.2">
      <c r="A13" s="1" t="s">
        <v>16</v>
      </c>
      <c r="B13" s="4">
        <f t="shared" ca="1" si="0"/>
        <v>591</v>
      </c>
      <c r="C13" s="5">
        <f t="shared" ca="1" si="0"/>
        <v>839</v>
      </c>
      <c r="D13" s="1">
        <f t="shared" ca="1" si="1"/>
        <v>-248</v>
      </c>
      <c r="E13" s="1">
        <f t="shared" ca="1" si="2"/>
        <v>0</v>
      </c>
    </row>
    <row r="14" spans="1:12" x14ac:dyDescent="0.2">
      <c r="A14" s="6" t="s">
        <v>18</v>
      </c>
      <c r="B14" s="7">
        <f ca="1">SUM(B2:B13)</f>
        <v>6041</v>
      </c>
      <c r="C14" s="7">
        <f t="shared" ref="C14:E14" ca="1" si="3">SUM(C2:C13)</f>
        <v>7827</v>
      </c>
      <c r="D14" s="7">
        <f t="shared" ca="1" si="3"/>
        <v>-1786</v>
      </c>
      <c r="E14" s="7">
        <f t="shared" ca="1" si="3"/>
        <v>117.26</v>
      </c>
    </row>
    <row r="17" spans="1:6" x14ac:dyDescent="0.2">
      <c r="A17" s="8" t="str">
        <f ca="1">INDEX(A2:A13,MATCH(MIN(D2:D13),D2:D13,0))</f>
        <v>январь</v>
      </c>
      <c r="D17" s="8">
        <f ca="1">MIN(D2:D13)</f>
        <v>-909</v>
      </c>
      <c r="F17" t="s">
        <v>19</v>
      </c>
    </row>
    <row r="18" spans="1:6" x14ac:dyDescent="0.2">
      <c r="A18" s="8" t="str">
        <f ca="1">INDEX(A2:A13,MATCH(MAX(D2:D13),D2:D13,0))</f>
        <v>март</v>
      </c>
      <c r="D18" s="8">
        <f ca="1">MAX(D2:D13)</f>
        <v>720</v>
      </c>
      <c r="F18" t="s">
        <v>20</v>
      </c>
    </row>
    <row r="21" spans="1:6" x14ac:dyDescent="0.2">
      <c r="D21" s="8">
        <f ca="1">AVERAGE(D2:D13)</f>
        <v>-148.83333333333334</v>
      </c>
      <c r="F21" t="s">
        <v>21</v>
      </c>
    </row>
    <row r="23" spans="1:6" x14ac:dyDescent="0.2">
      <c r="D23" s="8">
        <f ca="1">MEDIAN(D2:D13)</f>
        <v>-193.5</v>
      </c>
      <c r="F23" t="s">
        <v>22</v>
      </c>
    </row>
  </sheetData>
  <phoneticPr fontId="1" type="noConversion"/>
  <conditionalFormatting sqref="D1:D13 D15:D1048576">
    <cfRule type="cellIs" dxfId="3" priority="1" operator="lessThan">
      <formula>0</formula>
    </cfRule>
    <cfRule type="cellIs" dxfId="2" priority="3" operator="lessThan">
      <formula>0</formula>
    </cfRule>
  </conditionalFormatting>
  <dataValidations count="1">
    <dataValidation type="decimal" operator="greaterThanOrEqual" allowBlank="1" showInputMessage="1" showErrorMessage="1" errorTitle="ОШИБКА ВВОДА" error="Введите число больше нуля" promptTitle="Ввод данных" prompt="Вводи неотрицательные числа" sqref="B2:C13" xr:uid="{430A2645-CEC2-3846-A3BE-D37C6017F840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7286-F55E-814F-BD6C-1391E8D5DC26}">
  <sheetPr codeName="Лист2"/>
  <dimension ref="A1:E14"/>
  <sheetViews>
    <sheetView zoomScale="130" zoomScaleNormal="130" workbookViewId="0">
      <selection activeCell="J8" sqref="J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4"/>
      <c r="C2" s="5"/>
      <c r="D2" s="1"/>
      <c r="E2" s="1"/>
    </row>
    <row r="3" spans="1:5" x14ac:dyDescent="0.2">
      <c r="A3" s="1" t="s">
        <v>6</v>
      </c>
      <c r="B3" s="4"/>
      <c r="C3" s="5"/>
      <c r="D3" s="1"/>
      <c r="E3" s="1"/>
    </row>
    <row r="4" spans="1:5" x14ac:dyDescent="0.2">
      <c r="A4" s="1" t="s">
        <v>7</v>
      </c>
      <c r="B4" s="4"/>
      <c r="C4" s="5"/>
      <c r="D4" s="1"/>
      <c r="E4" s="1"/>
    </row>
    <row r="5" spans="1:5" x14ac:dyDescent="0.2">
      <c r="A5" s="1" t="s">
        <v>8</v>
      </c>
      <c r="B5" s="4"/>
      <c r="C5" s="5"/>
      <c r="D5" s="1"/>
      <c r="E5" s="1"/>
    </row>
    <row r="6" spans="1:5" x14ac:dyDescent="0.2">
      <c r="A6" s="1" t="s">
        <v>9</v>
      </c>
      <c r="B6" s="4"/>
      <c r="C6" s="5"/>
      <c r="D6" s="1"/>
      <c r="E6" s="1"/>
    </row>
    <row r="7" spans="1:5" x14ac:dyDescent="0.2">
      <c r="A7" s="1" t="s">
        <v>10</v>
      </c>
      <c r="B7" s="4"/>
      <c r="C7" s="5"/>
      <c r="D7" s="1"/>
      <c r="E7" s="1"/>
    </row>
    <row r="8" spans="1:5" x14ac:dyDescent="0.2">
      <c r="A8" s="1" t="s">
        <v>11</v>
      </c>
      <c r="B8" s="4"/>
      <c r="C8" s="5"/>
      <c r="D8" s="1"/>
      <c r="E8" s="1"/>
    </row>
    <row r="9" spans="1:5" x14ac:dyDescent="0.2">
      <c r="A9" s="1" t="s">
        <v>12</v>
      </c>
      <c r="B9" s="4"/>
      <c r="C9" s="5"/>
      <c r="D9" s="1"/>
      <c r="E9" s="1"/>
    </row>
    <row r="10" spans="1:5" x14ac:dyDescent="0.2">
      <c r="A10" s="1" t="s">
        <v>13</v>
      </c>
      <c r="B10" s="4"/>
      <c r="C10" s="5"/>
      <c r="D10" s="1"/>
      <c r="E10" s="1"/>
    </row>
    <row r="11" spans="1:5" x14ac:dyDescent="0.2">
      <c r="A11" s="1" t="s">
        <v>14</v>
      </c>
      <c r="B11" s="4"/>
      <c r="C11" s="5"/>
      <c r="D11" s="1"/>
      <c r="E11" s="1"/>
    </row>
    <row r="12" spans="1:5" x14ac:dyDescent="0.2">
      <c r="A12" s="1" t="s">
        <v>15</v>
      </c>
      <c r="B12" s="4"/>
      <c r="C12" s="5"/>
      <c r="D12" s="1"/>
      <c r="E12" s="1"/>
    </row>
    <row r="13" spans="1:5" x14ac:dyDescent="0.2">
      <c r="A13" s="1" t="s">
        <v>16</v>
      </c>
      <c r="B13" s="4"/>
      <c r="C13" s="5"/>
      <c r="D13" s="1"/>
      <c r="E13" s="1"/>
    </row>
    <row r="14" spans="1:5" x14ac:dyDescent="0.2">
      <c r="B14" s="7"/>
      <c r="C14" s="7"/>
      <c r="D14" s="7"/>
      <c r="E14" s="7"/>
    </row>
  </sheetData>
  <conditionalFormatting sqref="D1:D13">
    <cfRule type="cellIs" dxfId="1" priority="1" operator="lessThan">
      <formula>0</formula>
    </cfRule>
    <cfRule type="cellIs" dxfId="0" priority="2" operator="lessThan">
      <formula>0</formula>
    </cfRule>
  </conditionalFormatting>
  <dataValidations count="1">
    <dataValidation type="decimal" operator="greaterThanOrEqual" allowBlank="1" showInputMessage="1" showErrorMessage="1" errorTitle="ОШИБКА ВВОДА" error="Введите число больше нуля" promptTitle="Ввод данных" prompt="Вводи неотрицательные числа" sqref="B2:C13" xr:uid="{0F711124-38D4-7D42-B287-80189E7077A1}">
      <formula1>0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Button 3">
              <controlPr defaultSize="0" print="0" autoFill="0" autoPict="0" macro="[0]!click">
                <anchor moveWithCells="1" sizeWithCells="1">
                  <from>
                    <xdr:col>6</xdr:col>
                    <xdr:colOff>482600</xdr:colOff>
                    <xdr:row>1</xdr:row>
                    <xdr:rowOff>38100</xdr:rowOff>
                  </from>
                  <to>
                    <xdr:col>8</xdr:col>
                    <xdr:colOff>355600</xdr:colOff>
                    <xdr:row>3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2025-10-29T07:33:07Z</dcterms:created>
  <dcterms:modified xsi:type="dcterms:W3CDTF">2025-11-02T12:40:10Z</dcterms:modified>
</cp:coreProperties>
</file>