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calexzz/Desktop/University/Informat/excelLesson/"/>
    </mc:Choice>
  </mc:AlternateContent>
  <xr:revisionPtr revIDLastSave="0" documentId="13_ncr:1_{10F6FCF4-1C4E-964E-A3BD-9E79785D1EA4}" xr6:coauthVersionLast="47" xr6:coauthVersionMax="47" xr10:uidLastSave="{00000000-0000-0000-0000-000000000000}"/>
  <bookViews>
    <workbookView xWindow="160" yWindow="920" windowWidth="29920" windowHeight="18560" xr2:uid="{A100C9C3-CF5A-8245-B27D-E554540AD573}"/>
  </bookViews>
  <sheets>
    <sheet name="Лист1" sheetId="1" r:id="rId1"/>
  </sheets>
  <definedNames>
    <definedName name="_xleta.RANDBETWEEN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C4" i="1"/>
  <c r="D5" i="1"/>
  <c r="E5" i="1" s="1"/>
  <c r="F5" i="1" s="1"/>
  <c r="D6" i="1"/>
  <c r="D4" i="1"/>
  <c r="C6" i="1"/>
  <c r="E6" i="1" l="1"/>
  <c r="F6" i="1" s="1"/>
  <c r="G5" i="1"/>
  <c r="H5" i="1" s="1"/>
  <c r="I5" i="1" s="1"/>
  <c r="E4" i="1"/>
  <c r="G6" i="1" l="1"/>
  <c r="H6" i="1" s="1"/>
  <c r="I6" i="1" s="1"/>
  <c r="G4" i="1"/>
  <c r="F4" i="1"/>
  <c r="H4" i="1" l="1"/>
  <c r="I4" i="1" s="1"/>
</calcChain>
</file>

<file path=xl/sharedStrings.xml><?xml version="1.0" encoding="utf-8"?>
<sst xmlns="http://schemas.openxmlformats.org/spreadsheetml/2006/main" count="12" uniqueCount="12">
  <si>
    <t>Начисления</t>
  </si>
  <si>
    <t>Удержания</t>
  </si>
  <si>
    <t>к выдаче</t>
  </si>
  <si>
    <t>основное начисление</t>
  </si>
  <si>
    <t>премия</t>
  </si>
  <si>
    <t>всего начислено</t>
  </si>
  <si>
    <t>подоходный налог</t>
  </si>
  <si>
    <t>пенсионный фонд</t>
  </si>
  <si>
    <t>всего удержано</t>
  </si>
  <si>
    <t>Иванов</t>
  </si>
  <si>
    <t>Петров</t>
  </si>
  <si>
    <t>Сидоров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</si>
</sst>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2" borderId="12" xfId="0" applyFill="1" applyBorder="1" applyAlignment="1">
      <alignment horizontal="left" wrapText="1"/>
    </xf>
    <xf numFmtId="0" fontId="0" fillId="2" borderId="12" xfId="0" applyFill="1" applyBorder="1" applyAlignment="1">
      <alignment wrapText="1"/>
    </xf>
    <xf numFmtId="0" fontId="0" fillId="3" borderId="8" xfId="0" applyFill="1" applyBorder="1"/>
    <xf numFmtId="0" fontId="0" fillId="4" borderId="12" xfId="0" applyFill="1" applyBorder="1" applyAlignment="1">
      <alignment horizontal="left" wrapText="1"/>
    </xf>
    <xf numFmtId="2" fontId="0" fillId="0" borderId="6" xfId="0" applyNumberFormat="1" applyBorder="1"/>
    <xf numFmtId="2" fontId="0" fillId="2" borderId="6" xfId="0" applyNumberFormat="1" applyFill="1" applyBorder="1"/>
    <xf numFmtId="2" fontId="0" fillId="4" borderId="6" xfId="0" applyNumberFormat="1" applyFill="1" applyBorder="1"/>
    <xf numFmtId="2" fontId="0" fillId="3" borderId="8" xfId="0" applyNumberFormat="1" applyFill="1" applyBorder="1"/>
    <xf numFmtId="2" fontId="0" fillId="0" borderId="10" xfId="0" applyNumberFormat="1" applyBorder="1"/>
    <xf numFmtId="2" fontId="0" fillId="4" borderId="10" xfId="0" applyNumberFormat="1" applyFill="1" applyBorder="1"/>
    <xf numFmtId="2" fontId="0" fillId="3" borderId="11" xfId="0" applyNumberFormat="1" applyFill="1" applyBorder="1"/>
    <xf numFmtId="2" fontId="0" fillId="2" borderId="10" xfId="0" applyNumberFormat="1" applyFill="1" applyBorder="1"/>
    <xf numFmtId="2" fontId="0" fillId="0" borderId="6" xfId="0" applyNumberFormat="1" applyBorder="1" applyProtection="1">
      <protection locked="0"/>
    </xf>
    <xf numFmtId="2" fontId="0" fillId="0" borderId="10" xfId="0" applyNumberFormat="1" applyBorder="1" applyProtection="1">
      <protection locked="0"/>
    </xf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Лист1!$B$4:$B$6</c:f>
              <c:strCache>
                <c:ptCount val="3"/>
                <c:pt idx="0">
                  <c:v>Иванов</c:v>
                </c:pt>
                <c:pt idx="1">
                  <c:v>Петров</c:v>
                </c:pt>
                <c:pt idx="2">
                  <c:v>Сидоров</c:v>
                </c:pt>
              </c:strCache>
            </c:strRef>
          </c:cat>
          <c:val>
            <c:numRef>
              <c:f>Лист1!$I$4:$I$6</c:f>
              <c:numCache>
                <c:formatCode>0.00</c:formatCode>
                <c:ptCount val="3"/>
                <c:pt idx="0">
                  <c:v>10769.85</c:v>
                </c:pt>
                <c:pt idx="1">
                  <c:v>26765.7</c:v>
                </c:pt>
                <c:pt idx="2">
                  <c:v>13680.55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E5-1349-AB9F-5E397AD38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7971840"/>
        <c:axId val="418002704"/>
      </c:lineChart>
      <c:catAx>
        <c:axId val="41797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002704"/>
        <c:crosses val="autoZero"/>
        <c:auto val="1"/>
        <c:lblAlgn val="ctr"/>
        <c:lblOffset val="100"/>
        <c:noMultiLvlLbl val="0"/>
      </c:catAx>
      <c:valAx>
        <c:axId val="41800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97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75046</xdr:colOff>
      <xdr:row>2</xdr:row>
      <xdr:rowOff>25400</xdr:rowOff>
    </xdr:from>
    <xdr:to>
      <xdr:col>15</xdr:col>
      <xdr:colOff>490683</xdr:colOff>
      <xdr:row>13</xdr:row>
      <xdr:rowOff>32327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6E26E08-A2E0-55C2-7819-63E0F237FF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D6E03-3549-6A47-AB5C-672BB067BA69}">
  <dimension ref="B1:I6"/>
  <sheetViews>
    <sheetView tabSelected="1" zoomScale="110" zoomScaleNormal="110" workbookViewId="0">
      <selection activeCell="I15" sqref="I15"/>
    </sheetView>
  </sheetViews>
  <sheetFormatPr baseColWidth="10" defaultRowHeight="16" outlineLevelCol="1" x14ac:dyDescent="0.2"/>
  <cols>
    <col min="2" max="2" width="19.1640625" customWidth="1"/>
    <col min="3" max="3" width="10.83203125" customWidth="1" outlineLevel="1"/>
    <col min="4" max="4" width="14.83203125" customWidth="1" outlineLevel="1"/>
    <col min="5" max="5" width="10.83203125" customWidth="1" outlineLevel="1"/>
    <col min="6" max="6" width="12.1640625" customWidth="1" outlineLevel="1"/>
    <col min="7" max="8" width="10.83203125" customWidth="1" outlineLevel="1"/>
  </cols>
  <sheetData>
    <row r="1" spans="2:9" ht="29" customHeight="1" thickBot="1" x14ac:dyDescent="0.25"/>
    <row r="2" spans="2:9" ht="31" customHeight="1" thickBot="1" x14ac:dyDescent="0.25">
      <c r="B2" s="4"/>
      <c r="C2" s="1" t="s">
        <v>0</v>
      </c>
      <c r="D2" s="2"/>
      <c r="E2" s="3"/>
      <c r="F2" s="1" t="s">
        <v>1</v>
      </c>
      <c r="G2" s="2"/>
      <c r="H2" s="3"/>
      <c r="I2" s="5"/>
    </row>
    <row r="3" spans="2:9" ht="51" x14ac:dyDescent="0.2">
      <c r="B3" s="6"/>
      <c r="C3" s="8" t="s">
        <v>3</v>
      </c>
      <c r="D3" s="9" t="s">
        <v>4</v>
      </c>
      <c r="E3" s="8" t="s">
        <v>5</v>
      </c>
      <c r="F3" s="11" t="s">
        <v>6</v>
      </c>
      <c r="G3" s="11" t="s">
        <v>7</v>
      </c>
      <c r="H3" s="11" t="s">
        <v>8</v>
      </c>
      <c r="I3" s="10" t="s">
        <v>2</v>
      </c>
    </row>
    <row r="4" spans="2:9" x14ac:dyDescent="0.2">
      <c r="B4" s="6" t="s">
        <v>9</v>
      </c>
      <c r="C4" s="20">
        <f t="shared" ref="C4:D6" ca="1" si="0">RANDBETWEEN(12000,50000)</f>
        <v>12148</v>
      </c>
      <c r="D4" s="20">
        <f ca="1">RANDBETWEEN(0,10000)</f>
        <v>4421</v>
      </c>
      <c r="E4" s="13">
        <f ca="1">SUM(C4:D4)</f>
        <v>16569</v>
      </c>
      <c r="F4" s="12">
        <f ca="1">E4*0.13</f>
        <v>2153.9700000000003</v>
      </c>
      <c r="G4" s="12">
        <f ca="1">E4*0.22</f>
        <v>3645.18</v>
      </c>
      <c r="H4" s="14">
        <f ca="1">SUM(F4:G4)</f>
        <v>5799.15</v>
      </c>
      <c r="I4" s="15">
        <f ca="1">E4-H4</f>
        <v>10769.85</v>
      </c>
    </row>
    <row r="5" spans="2:9" x14ac:dyDescent="0.2">
      <c r="B5" s="6" t="s">
        <v>10</v>
      </c>
      <c r="C5" s="20">
        <f ca="1">RANDBETWEEN(12000,50000)</f>
        <v>39946</v>
      </c>
      <c r="D5" s="20">
        <f t="shared" ref="D5:D6" ca="1" si="1">RANDBETWEEN(0,10000)</f>
        <v>1232</v>
      </c>
      <c r="E5" s="13">
        <f t="shared" ref="E5:E6" ca="1" si="2">SUM(C5:D5)</f>
        <v>41178</v>
      </c>
      <c r="F5" s="12">
        <f t="shared" ref="F5:F6" ca="1" si="3">E5*0.13</f>
        <v>5353.14</v>
      </c>
      <c r="G5" s="12">
        <f t="shared" ref="G5:G6" ca="1" si="4">E5*0.22</f>
        <v>9059.16</v>
      </c>
      <c r="H5" s="14">
        <f t="shared" ref="H5:H6" ca="1" si="5">SUM(F5:G5)</f>
        <v>14412.3</v>
      </c>
      <c r="I5" s="15">
        <f t="shared" ref="I5:I6" ca="1" si="6">E5-H5</f>
        <v>26765.7</v>
      </c>
    </row>
    <row r="6" spans="2:9" ht="17" thickBot="1" x14ac:dyDescent="0.25">
      <c r="B6" s="7" t="s">
        <v>11</v>
      </c>
      <c r="C6" s="21">
        <f t="shared" ca="1" si="0"/>
        <v>15529</v>
      </c>
      <c r="D6" s="21">
        <f t="shared" ca="1" si="1"/>
        <v>5518</v>
      </c>
      <c r="E6" s="19">
        <f t="shared" ca="1" si="2"/>
        <v>21047</v>
      </c>
      <c r="F6" s="16">
        <f t="shared" ca="1" si="3"/>
        <v>2736.11</v>
      </c>
      <c r="G6" s="16">
        <f t="shared" ca="1" si="4"/>
        <v>4630.34</v>
      </c>
      <c r="H6" s="17">
        <f t="shared" ca="1" si="5"/>
        <v>7366.4500000000007</v>
      </c>
      <c r="I6" s="18">
        <f t="shared" ca="1" si="6"/>
        <v>13680.55</v>
      </c>
    </row>
  </sheetData>
  <sheetProtection sheet="1" objects="1" scenarios="1" formatColumns="0" sort="0" autoFilter="0"/>
  <mergeCells count="2">
    <mergeCell ref="C2:E2"/>
    <mergeCell ref="F2:H2"/>
  </mergeCells>
  <conditionalFormatting sqref="I4:I6">
    <cfRule type="cellIs" dxfId="0" priority="1" operator="lessThan">
      <formula>12333</formula>
    </cfRule>
  </conditionalFormatting>
  <dataValidations count="1">
    <dataValidation type="decimal" operator="greaterThan" allowBlank="1" showInputMessage="1" showErrorMessage="1" errorTitle="ОШИБКА ДАННЫХ" error="ВВОДИТЕ НЕОТРИЦАТЕЛЬНОЕ ЧИСЛО" promptTitle="Ввод числа" prompt="Вводите неотрицательное число" sqref="C4:D6" xr:uid="{C228E745-1C91-B247-BC15-C45A972EFBE0}">
      <formula1>0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calexzz</dc:creator>
  <cp:lastModifiedBy>calexzz</cp:lastModifiedBy>
  <dcterms:created xsi:type="dcterms:W3CDTF">2025-11-02T13:30:07Z</dcterms:created>
  <dcterms:modified xsi:type="dcterms:W3CDTF">2025-11-02T13:51:46Z</dcterms:modified>
</cp:coreProperties>
</file>