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exzz/Desktop/University/Informat/"/>
    </mc:Choice>
  </mc:AlternateContent>
  <xr:revisionPtr revIDLastSave="0" documentId="13_ncr:1_{D2DC01C9-5B1D-F144-BD50-37AD7A8414A8}" xr6:coauthVersionLast="47" xr6:coauthVersionMax="47" xr10:uidLastSave="{00000000-0000-0000-0000-000000000000}"/>
  <bookViews>
    <workbookView xWindow="0" yWindow="740" windowWidth="30240" windowHeight="18900" activeTab="10" xr2:uid="{D875DE46-2015-CE4B-9EC7-DED7CAB5A870}"/>
  </bookViews>
  <sheets>
    <sheet name="Лист1" sheetId="1" r:id="rId1"/>
    <sheet name="Лист2" sheetId="2" r:id="rId2"/>
    <sheet name="Лист3" sheetId="3" r:id="rId3"/>
    <sheet name="Лист4" sheetId="7" r:id="rId4"/>
    <sheet name="Лист5" sheetId="8" r:id="rId5"/>
    <sheet name="Лист6" sheetId="9" r:id="rId6"/>
    <sheet name="Лист7" sheetId="10" r:id="rId7"/>
    <sheet name="Лист8" sheetId="11" r:id="rId8"/>
    <sheet name="Лист9" sheetId="12" r:id="rId9"/>
    <sheet name="Лист10" sheetId="13" r:id="rId10"/>
    <sheet name="Лист11" sheetId="14" r:id="rId11"/>
    <sheet name="Лист12" sheetId="15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2" l="1"/>
  <c r="A3" i="2"/>
  <c r="A4" i="2"/>
  <c r="A5" i="2"/>
  <c r="A6" i="2"/>
  <c r="A7" i="2"/>
  <c r="A8" i="2"/>
  <c r="A9" i="2"/>
  <c r="A10" i="2"/>
  <c r="A11" i="2"/>
  <c r="A12" i="2"/>
  <c r="A2" i="2"/>
  <c r="B3" i="1"/>
  <c r="B4" i="1"/>
  <c r="B5" i="1"/>
  <c r="B6" i="1"/>
  <c r="B7" i="1"/>
  <c r="B8" i="1"/>
  <c r="B9" i="1"/>
  <c r="B10" i="1"/>
  <c r="B11" i="1"/>
  <c r="B12" i="1"/>
  <c r="B13" i="1"/>
  <c r="B2" i="1"/>
</calcChain>
</file>

<file path=xl/sharedStrings.xml><?xml version="1.0" encoding="utf-8"?>
<sst xmlns="http://schemas.openxmlformats.org/spreadsheetml/2006/main" count="53" uniqueCount="50">
  <si>
    <t>год</t>
  </si>
  <si>
    <t>объем продаж</t>
  </si>
  <si>
    <t>интервалы зарплат</t>
  </si>
  <si>
    <t>цена</t>
  </si>
  <si>
    <t>качество</t>
  </si>
  <si>
    <t>Подразделение</t>
  </si>
  <si>
    <t>Текучесть кадров, %</t>
  </si>
  <si>
    <t>Отдел продаж</t>
  </si>
  <si>
    <t>Маркетинг</t>
  </si>
  <si>
    <t>Производство</t>
  </si>
  <si>
    <t>Логистика</t>
  </si>
  <si>
    <t>IT</t>
  </si>
  <si>
    <t>Бухгалтерия</t>
  </si>
  <si>
    <t>Вид деятельности</t>
  </si>
  <si>
    <t>Доля времени, %</t>
  </si>
  <si>
    <t>Работа с клиентами</t>
  </si>
  <si>
    <t>Подготовка коммерческих предложений</t>
  </si>
  <si>
    <t>Внутренние совещания</t>
  </si>
  <si>
    <t>Работа с CRM и отчетность</t>
  </si>
  <si>
    <t>Административные задачи</t>
  </si>
  <si>
    <t>Стаж работы, лет</t>
  </si>
  <si>
    <t>Прибавка к зарплате, %</t>
  </si>
  <si>
    <t>Возрастная группа</t>
  </si>
  <si>
    <t>До 25 лет</t>
  </si>
  <si>
    <t>25–30 лет</t>
  </si>
  <si>
    <t>30–45 лет</t>
  </si>
  <si>
    <t>45–55 лет</t>
  </si>
  <si>
    <t>Старше 55 лет</t>
  </si>
  <si>
    <t>Год</t>
  </si>
  <si>
    <t>Доходность акций, %</t>
  </si>
  <si>
    <t>Регион</t>
  </si>
  <si>
    <t>Оценка качества</t>
  </si>
  <si>
    <t>Северный</t>
  </si>
  <si>
    <t>Восточный</t>
  </si>
  <si>
    <t>Южный</t>
  </si>
  <si>
    <t>Западный</t>
  </si>
  <si>
    <t>Направление фондов</t>
  </si>
  <si>
    <t>Доля (%)</t>
  </si>
  <si>
    <t>Научные исследования</t>
  </si>
  <si>
    <t>Инфраструктура</t>
  </si>
  <si>
    <t>Социальные проекты</t>
  </si>
  <si>
    <t>Инвестиции</t>
  </si>
  <si>
    <t>Доход предприятия (млн ₽)</t>
  </si>
  <si>
    <t>Средняя зарплата (₽)</t>
  </si>
  <si>
    <t>Студенты 1 курса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</si>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</sst>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объем продаж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Лист1!$B$2:$B$13</c:f>
              <c:numCache>
                <c:formatCode>General</c:formatCode>
                <c:ptCount val="12"/>
                <c:pt idx="0">
                  <c:v>9968</c:v>
                </c:pt>
                <c:pt idx="1">
                  <c:v>38177</c:v>
                </c:pt>
                <c:pt idx="2">
                  <c:v>24772</c:v>
                </c:pt>
                <c:pt idx="3">
                  <c:v>91445</c:v>
                </c:pt>
                <c:pt idx="4">
                  <c:v>77853</c:v>
                </c:pt>
                <c:pt idx="5">
                  <c:v>80887</c:v>
                </c:pt>
                <c:pt idx="6">
                  <c:v>5608</c:v>
                </c:pt>
                <c:pt idx="7">
                  <c:v>80834</c:v>
                </c:pt>
                <c:pt idx="8">
                  <c:v>75050</c:v>
                </c:pt>
                <c:pt idx="9">
                  <c:v>77322</c:v>
                </c:pt>
                <c:pt idx="10">
                  <c:v>37621</c:v>
                </c:pt>
                <c:pt idx="11">
                  <c:v>51341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BF-674D-A42B-40F36C23A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0016592"/>
        <c:axId val="380018304"/>
      </c:lineChart>
      <c:catAx>
        <c:axId val="380016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0018304"/>
        <c:crosses val="autoZero"/>
        <c:auto val="1"/>
        <c:lblAlgn val="ctr"/>
        <c:lblOffset val="100"/>
        <c:noMultiLvlLbl val="0"/>
      </c:catAx>
      <c:valAx>
        <c:axId val="38001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001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Лист2!$A$1</c:f>
              <c:strCache>
                <c:ptCount val="1"/>
                <c:pt idx="0">
                  <c:v>интервалы зарплат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Лист2!$A$2:$A$13</c:f>
              <c:numCache>
                <c:formatCode>General</c:formatCode>
                <c:ptCount val="12"/>
                <c:pt idx="0">
                  <c:v>36</c:v>
                </c:pt>
                <c:pt idx="1">
                  <c:v>36</c:v>
                </c:pt>
                <c:pt idx="2">
                  <c:v>33</c:v>
                </c:pt>
                <c:pt idx="3">
                  <c:v>39</c:v>
                </c:pt>
                <c:pt idx="4">
                  <c:v>35</c:v>
                </c:pt>
                <c:pt idx="5">
                  <c:v>34</c:v>
                </c:pt>
                <c:pt idx="6">
                  <c:v>37</c:v>
                </c:pt>
                <c:pt idx="7">
                  <c:v>33</c:v>
                </c:pt>
                <c:pt idx="8">
                  <c:v>33</c:v>
                </c:pt>
                <c:pt idx="9">
                  <c:v>35</c:v>
                </c:pt>
                <c:pt idx="10">
                  <c:v>34</c:v>
                </c:pt>
                <c:pt idx="11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3-A64B-BA9D-312B6B299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0303584"/>
        <c:axId val="380305296"/>
      </c:barChart>
      <c:catAx>
        <c:axId val="380303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0305296"/>
        <c:crosses val="autoZero"/>
        <c:auto val="1"/>
        <c:lblAlgn val="ctr"/>
        <c:lblOffset val="100"/>
        <c:noMultiLvlLbl val="0"/>
      </c:catAx>
      <c:valAx>
        <c:axId val="38030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0303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Лист3!$B$1</c:f>
              <c:strCache>
                <c:ptCount val="1"/>
                <c:pt idx="0">
                  <c:v>цена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Лист3!$A$2:$A$7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Лист3!$B$2:$B$7</c:f>
              <c:numCache>
                <c:formatCode>General</c:formatCode>
                <c:ptCount val="6"/>
                <c:pt idx="0">
                  <c:v>45</c:v>
                </c:pt>
                <c:pt idx="1">
                  <c:v>47</c:v>
                </c:pt>
                <c:pt idx="2">
                  <c:v>49</c:v>
                </c:pt>
                <c:pt idx="3">
                  <c:v>52</c:v>
                </c:pt>
                <c:pt idx="4">
                  <c:v>55</c:v>
                </c:pt>
                <c:pt idx="5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D7-A042-9DE8-E99EBAA80B16}"/>
            </c:ext>
          </c:extLst>
        </c:ser>
        <c:ser>
          <c:idx val="1"/>
          <c:order val="1"/>
          <c:tx>
            <c:strRef>
              <c:f>Лист3!$C$1</c:f>
              <c:strCache>
                <c:ptCount val="1"/>
                <c:pt idx="0">
                  <c:v>качество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Лист3!$A$2:$A$7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numCache>
            </c:numRef>
          </c:cat>
          <c:val>
            <c:numRef>
              <c:f>Лист3!$C$2:$C$7</c:f>
              <c:numCache>
                <c:formatCode>General</c:formatCode>
                <c:ptCount val="6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D7-A042-9DE8-E99EBAA80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9126272"/>
        <c:axId val="2089128528"/>
      </c:barChart>
      <c:catAx>
        <c:axId val="208912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89128528"/>
        <c:crosses val="autoZero"/>
        <c:auto val="1"/>
        <c:lblAlgn val="ctr"/>
        <c:lblOffset val="100"/>
        <c:noMultiLvlLbl val="0"/>
      </c:catAx>
      <c:valAx>
        <c:axId val="208912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8912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Лист4!$B$1</c:f>
              <c:strCache>
                <c:ptCount val="1"/>
                <c:pt idx="0">
                  <c:v>Текучесть кадров,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Лист4!$A$2:$A$7</c:f>
              <c:strCache>
                <c:ptCount val="6"/>
                <c:pt idx="0">
                  <c:v>Отдел продаж</c:v>
                </c:pt>
                <c:pt idx="1">
                  <c:v>Маркетинг</c:v>
                </c:pt>
                <c:pt idx="2">
                  <c:v>Производство</c:v>
                </c:pt>
                <c:pt idx="3">
                  <c:v>Логистика</c:v>
                </c:pt>
                <c:pt idx="4">
                  <c:v>IT</c:v>
                </c:pt>
                <c:pt idx="5">
                  <c:v>Бухгалтерия</c:v>
                </c:pt>
              </c:strCache>
            </c:strRef>
          </c:cat>
          <c:val>
            <c:numRef>
              <c:f>Лист4!$B$2:$B$7</c:f>
              <c:numCache>
                <c:formatCode>General</c:formatCode>
                <c:ptCount val="6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5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0F-AC42-BC3C-856238D97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5377744"/>
        <c:axId val="385379456"/>
      </c:barChart>
      <c:catAx>
        <c:axId val="385377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5379456"/>
        <c:crosses val="autoZero"/>
        <c:auto val="1"/>
        <c:lblAlgn val="ctr"/>
        <c:lblOffset val="100"/>
        <c:noMultiLvlLbl val="0"/>
      </c:catAx>
      <c:valAx>
        <c:axId val="385379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5377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Распределение рабочего времени менеджера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Лист5!$B$1</c:f>
              <c:strCache>
                <c:ptCount val="1"/>
                <c:pt idx="0">
                  <c:v>Доля времени, %</c:v>
                </c:pt>
              </c:strCache>
            </c:strRef>
          </c:tx>
          <c:dPt>
            <c:idx val="0"/>
            <c:bubble3D val="0"/>
            <c:explosion val="14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B9A-5B40-8AEC-7FED1B41DF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BDB-6A4C-9E4C-2E7625D894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BDB-6A4C-9E4C-2E7625D894D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BDB-6A4C-9E4C-2E7625D894D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BDB-6A4C-9E4C-2E7625D894D8}"/>
              </c:ext>
            </c:extLst>
          </c:dPt>
          <c:cat>
            <c:strRef>
              <c:f>Лист5!$A$2:$A$6</c:f>
              <c:strCache>
                <c:ptCount val="5"/>
                <c:pt idx="0">
                  <c:v>Работа с клиентами</c:v>
                </c:pt>
                <c:pt idx="1">
                  <c:v>Подготовка коммерческих предложений</c:v>
                </c:pt>
                <c:pt idx="2">
                  <c:v>Внутренние совещания</c:v>
                </c:pt>
                <c:pt idx="3">
                  <c:v>Работа с CRM и отчетность</c:v>
                </c:pt>
                <c:pt idx="4">
                  <c:v>Административные задачи</c:v>
                </c:pt>
              </c:strCache>
            </c:strRef>
          </c:cat>
          <c:val>
            <c:numRef>
              <c:f>Лист5!$B$2:$B$6</c:f>
              <c:numCache>
                <c:formatCode>General</c:formatCode>
                <c:ptCount val="5"/>
                <c:pt idx="0">
                  <c:v>15</c:v>
                </c:pt>
                <c:pt idx="1">
                  <c:v>40</c:v>
                </c:pt>
                <c:pt idx="2">
                  <c:v>20</c:v>
                </c:pt>
                <c:pt idx="3">
                  <c:v>20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A-5B40-8AEC-7FED1B41D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размера прибавки от выслуги лет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Лист6!$B$1</c:f>
              <c:strCache>
                <c:ptCount val="1"/>
                <c:pt idx="0">
                  <c:v>Прибавка к зарплате, %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Лист6!$A$2:$A$16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Лист6!$B$2:$B$16</c:f>
              <c:numCache>
                <c:formatCode>General</c:formatCode>
                <c:ptCount val="15"/>
                <c:pt idx="0">
                  <c:v>6</c:v>
                </c:pt>
                <c:pt idx="1">
                  <c:v>3</c:v>
                </c:pt>
                <c:pt idx="2">
                  <c:v>7</c:v>
                </c:pt>
                <c:pt idx="3">
                  <c:v>4</c:v>
                </c:pt>
                <c:pt idx="4">
                  <c:v>6</c:v>
                </c:pt>
                <c:pt idx="5">
                  <c:v>2</c:v>
                </c:pt>
                <c:pt idx="6">
                  <c:v>5</c:v>
                </c:pt>
                <c:pt idx="7">
                  <c:v>3</c:v>
                </c:pt>
                <c:pt idx="8">
                  <c:v>6</c:v>
                </c:pt>
                <c:pt idx="9">
                  <c:v>4</c:v>
                </c:pt>
                <c:pt idx="10">
                  <c:v>7</c:v>
                </c:pt>
                <c:pt idx="11">
                  <c:v>3</c:v>
                </c:pt>
                <c:pt idx="12">
                  <c:v>5</c:v>
                </c:pt>
                <c:pt idx="13">
                  <c:v>4</c:v>
                </c:pt>
                <c:pt idx="14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B0-5E49-8EF5-B6775C7B9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508320"/>
        <c:axId val="384328496"/>
      </c:scatterChart>
      <c:valAx>
        <c:axId val="38450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Стаж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4328496"/>
        <c:crosses val="autoZero"/>
        <c:crossBetween val="midCat"/>
      </c:valAx>
      <c:valAx>
        <c:axId val="38432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Прибавка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450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Лист7!$B$1</c:f>
              <c:strCache>
                <c:ptCount val="1"/>
                <c:pt idx="0">
                  <c:v>Текучесть кадров,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Лист7!$A$2:$A$6</c:f>
              <c:strCache>
                <c:ptCount val="5"/>
                <c:pt idx="0">
                  <c:v>До 25 лет</c:v>
                </c:pt>
                <c:pt idx="1">
                  <c:v>25–30 лет</c:v>
                </c:pt>
                <c:pt idx="2">
                  <c:v>30–45 лет</c:v>
                </c:pt>
                <c:pt idx="3">
                  <c:v>45–55 лет</c:v>
                </c:pt>
                <c:pt idx="4">
                  <c:v>Старше 55 лет</c:v>
                </c:pt>
              </c:strCache>
            </c:strRef>
          </c:cat>
          <c:val>
            <c:numRef>
              <c:f>Лист7!$B$2:$B$6</c:f>
              <c:numCache>
                <c:formatCode>General</c:formatCode>
                <c:ptCount val="5"/>
                <c:pt idx="0">
                  <c:v>9</c:v>
                </c:pt>
                <c:pt idx="1">
                  <c:v>12</c:v>
                </c:pt>
                <c:pt idx="2">
                  <c:v>18</c:v>
                </c:pt>
                <c:pt idx="3">
                  <c:v>7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DA-004D-9C54-C07B0EE52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5831200"/>
        <c:axId val="795832912"/>
      </c:barChart>
      <c:catAx>
        <c:axId val="79583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95832912"/>
        <c:crosses val="autoZero"/>
        <c:auto val="1"/>
        <c:lblAlgn val="ctr"/>
        <c:lblOffset val="100"/>
        <c:noMultiLvlLbl val="0"/>
      </c:catAx>
      <c:valAx>
        <c:axId val="7958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9583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Лист8!$B$1</c:f>
              <c:strCache>
                <c:ptCount val="1"/>
                <c:pt idx="0">
                  <c:v>Доходность акций, 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Лист8!$B$2:$B$7</c:f>
              <c:numCache>
                <c:formatCode>General</c:formatCode>
                <c:ptCount val="6"/>
                <c:pt idx="0">
                  <c:v>14.5</c:v>
                </c:pt>
                <c:pt idx="1">
                  <c:v>13.2</c:v>
                </c:pt>
                <c:pt idx="2">
                  <c:v>11.8</c:v>
                </c:pt>
                <c:pt idx="3">
                  <c:v>10.1</c:v>
                </c:pt>
                <c:pt idx="4">
                  <c:v>8.6</c:v>
                </c:pt>
                <c:pt idx="5">
                  <c:v>7.3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C8-1948-A1B1-433EE3B6E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801248"/>
        <c:axId val="712078864"/>
      </c:scatterChart>
      <c:valAx>
        <c:axId val="795801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2078864"/>
        <c:crosses val="autoZero"/>
        <c:crossBetween val="midCat"/>
      </c:valAx>
      <c:valAx>
        <c:axId val="71207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95801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Лист9!$B$1</c:f>
              <c:strCache>
                <c:ptCount val="1"/>
                <c:pt idx="0">
                  <c:v>Оценка качества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Лист9!$A$2:$A$5</c:f>
              <c:strCache>
                <c:ptCount val="4"/>
                <c:pt idx="0">
                  <c:v>Северный</c:v>
                </c:pt>
                <c:pt idx="1">
                  <c:v>Восточный</c:v>
                </c:pt>
                <c:pt idx="2">
                  <c:v>Южный</c:v>
                </c:pt>
                <c:pt idx="3">
                  <c:v>Западный</c:v>
                </c:pt>
              </c:strCache>
            </c:strRef>
          </c:cat>
          <c:val>
            <c:numRef>
              <c:f>Лист9!$B$2:$B$5</c:f>
              <c:numCache>
                <c:formatCode>General</c:formatCode>
                <c:ptCount val="4"/>
                <c:pt idx="0">
                  <c:v>3</c:v>
                </c:pt>
                <c:pt idx="1">
                  <c:v>7</c:v>
                </c:pt>
                <c:pt idx="2">
                  <c:v>6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4E-9044-AF1D-F372BCB0A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4417872"/>
        <c:axId val="1044419584"/>
      </c:barChart>
      <c:catAx>
        <c:axId val="1044417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4419584"/>
        <c:crosses val="autoZero"/>
        <c:auto val="1"/>
        <c:lblAlgn val="ctr"/>
        <c:lblOffset val="100"/>
        <c:noMultiLvlLbl val="0"/>
      </c:catAx>
      <c:valAx>
        <c:axId val="104441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4417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Доля фондов, задействованных в инвестициях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Лист10!$B$1</c:f>
              <c:strCache>
                <c:ptCount val="1"/>
                <c:pt idx="0">
                  <c:v>Доля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C55-FB41-959C-76CAD3C45F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C55-FB41-959C-76CAD3C45F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C55-FB41-959C-76CAD3C45F19}"/>
              </c:ext>
            </c:extLst>
          </c:dPt>
          <c:dPt>
            <c:idx val="3"/>
            <c:bubble3D val="0"/>
            <c:explosion val="14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8F6-DB4F-B792-BBD251F0CC53}"/>
              </c:ext>
            </c:extLst>
          </c:dPt>
          <c:cat>
            <c:strRef>
              <c:f>Лист10!$A$2:$A$5</c:f>
              <c:strCache>
                <c:ptCount val="4"/>
                <c:pt idx="0">
                  <c:v>Научные исследования</c:v>
                </c:pt>
                <c:pt idx="1">
                  <c:v>Инфраструктура</c:v>
                </c:pt>
                <c:pt idx="2">
                  <c:v>Социальные проекты</c:v>
                </c:pt>
                <c:pt idx="3">
                  <c:v>Инвестиции</c:v>
                </c:pt>
              </c:strCache>
            </c:strRef>
          </c:cat>
          <c:val>
            <c:numRef>
              <c:f>Лист10!$B$2:$B$5</c:f>
              <c:numCache>
                <c:formatCode>General</c:formatCode>
                <c:ptCount val="4"/>
                <c:pt idx="0">
                  <c:v>40</c:v>
                </c:pt>
                <c:pt idx="1">
                  <c:v>30</c:v>
                </c:pt>
                <c:pt idx="2">
                  <c:v>20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F6-DB4F-B792-BBD251F0C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Лист11!$B$1</c:f>
              <c:strCache>
                <c:ptCount val="1"/>
                <c:pt idx="0">
                  <c:v>Средняя зарплата (₽)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Лист11!$A$2:$A$10</c:f>
              <c:numCache>
                <c:formatCode>General</c:formatCode>
                <c:ptCount val="9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</c:numCache>
            </c:numRef>
          </c:xVal>
          <c:yVal>
            <c:numRef>
              <c:f>Лист11!$B$2:$B$10</c:f>
              <c:numCache>
                <c:formatCode>General</c:formatCode>
                <c:ptCount val="9"/>
                <c:pt idx="0">
                  <c:v>30</c:v>
                </c:pt>
                <c:pt idx="1">
                  <c:v>45</c:v>
                </c:pt>
                <c:pt idx="2">
                  <c:v>55</c:v>
                </c:pt>
                <c:pt idx="3">
                  <c:v>65</c:v>
                </c:pt>
                <c:pt idx="4">
                  <c:v>77.5</c:v>
                </c:pt>
                <c:pt idx="5">
                  <c:v>89</c:v>
                </c:pt>
                <c:pt idx="6">
                  <c:v>100.5</c:v>
                </c:pt>
                <c:pt idx="7">
                  <c:v>112</c:v>
                </c:pt>
                <c:pt idx="8">
                  <c:v>123.5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13-B240-90FB-B4274CBE4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856032"/>
        <c:axId val="281857760"/>
      </c:scatterChart>
      <c:valAx>
        <c:axId val="281856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1857760"/>
        <c:crosses val="autoZero"/>
        <c:crossBetween val="midCat"/>
      </c:valAx>
      <c:valAx>
        <c:axId val="28185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1856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Лист12!$B$1</c:f>
              <c:strCache>
                <c:ptCount val="1"/>
                <c:pt idx="0">
                  <c:v>Студенты 1 курса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Лист12!$A$2:$A$6</c:f>
              <c:strCache>
                <c:ptCount val="5"/>
                <c:pt idx="0">
                  <c:v>2020/21</c:v>
                </c:pt>
                <c:pt idx="1">
                  <c:v>2021/22</c:v>
                </c:pt>
                <c:pt idx="2">
                  <c:v>2022/23</c:v>
                </c:pt>
                <c:pt idx="3">
                  <c:v>2023/24</c:v>
                </c:pt>
                <c:pt idx="4">
                  <c:v>2024/25</c:v>
                </c:pt>
              </c:strCache>
            </c:strRef>
          </c:cat>
          <c:val>
            <c:numRef>
              <c:f>Лист12!$B$2:$B$6</c:f>
              <c:numCache>
                <c:formatCode>General</c:formatCode>
                <c:ptCount val="5"/>
                <c:pt idx="0">
                  <c:v>120</c:v>
                </c:pt>
                <c:pt idx="1">
                  <c:v>130</c:v>
                </c:pt>
                <c:pt idx="2">
                  <c:v>125</c:v>
                </c:pt>
                <c:pt idx="3">
                  <c:v>140</c:v>
                </c:pt>
                <c:pt idx="4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E2-2441-ADE2-E3F4212D5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2471584"/>
        <c:axId val="712728368"/>
      </c:lineChart>
      <c:catAx>
        <c:axId val="71247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2728368"/>
        <c:crosses val="autoZero"/>
        <c:auto val="1"/>
        <c:lblAlgn val="ctr"/>
        <c:lblOffset val="100"/>
        <c:noMultiLvlLbl val="0"/>
      </c:catAx>
      <c:valAx>
        <c:axId val="71272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2471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391583</xdr:colOff>
      <xdr:row>1</xdr:row>
      <xdr:rowOff>179917</xdr:rowOff>
    </xdr:from>
    <xdr:to>
      <xdr:col>9</xdr:col>
      <xdr:colOff>338666</xdr:colOff>
      <xdr:row>18</xdr:row>
      <xdr:rowOff>69850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EF2F1B4-EB76-FC59-05DD-91026A5697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717550</xdr:colOff>
      <xdr:row>1</xdr:row>
      <xdr:rowOff>171450</xdr:rowOff>
    </xdr:from>
    <xdr:to>
      <xdr:col>7</xdr:col>
      <xdr:colOff>336550</xdr:colOff>
      <xdr:row>15</xdr:row>
      <xdr:rowOff>69850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8012F4C-5FF6-7197-9265-8E04115A11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406400</xdr:colOff>
      <xdr:row>1</xdr:row>
      <xdr:rowOff>127000</xdr:rowOff>
    </xdr:from>
    <xdr:to>
      <xdr:col>9</xdr:col>
      <xdr:colOff>25400</xdr:colOff>
      <xdr:row>15</xdr:row>
      <xdr:rowOff>25400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78345543-2C65-9789-A73A-B1F6FEDD26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406400</xdr:colOff>
      <xdr:row>1</xdr:row>
      <xdr:rowOff>25400</xdr:rowOff>
    </xdr:from>
    <xdr:to>
      <xdr:col>8</xdr:col>
      <xdr:colOff>25400</xdr:colOff>
      <xdr:row>14</xdr:row>
      <xdr:rowOff>127000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A35211D-0631-FE96-CD7F-5976B66B05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336549</xdr:colOff>
      <xdr:row>1</xdr:row>
      <xdr:rowOff>19051</xdr:rowOff>
    </xdr:from>
    <xdr:to>
      <xdr:col>7</xdr:col>
      <xdr:colOff>789516</xdr:colOff>
      <xdr:row>14</xdr:row>
      <xdr:rowOff>118534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07C09E8-F90A-A75A-6F6C-8196343DF5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584200</xdr:colOff>
      <xdr:row>2</xdr:row>
      <xdr:rowOff>88900</xdr:rowOff>
    </xdr:from>
    <xdr:to>
      <xdr:col>8</xdr:col>
      <xdr:colOff>203200</xdr:colOff>
      <xdr:row>15</xdr:row>
      <xdr:rowOff>190500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5707AF9-62BE-D33E-1814-B80E5963FA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0</xdr:row>
      <xdr:rowOff>101600</xdr:rowOff>
    </xdr:from>
    <xdr:to>
      <xdr:col>7</xdr:col>
      <xdr:colOff>711200</xdr:colOff>
      <xdr:row>14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00566E2-AEB8-ED85-7E7F-28A734D7AC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431800</xdr:colOff>
      <xdr:row>1</xdr:row>
      <xdr:rowOff>12700</xdr:rowOff>
    </xdr:from>
    <xdr:to>
      <xdr:col>8</xdr:col>
      <xdr:colOff>50800</xdr:colOff>
      <xdr:row>14</xdr:row>
      <xdr:rowOff>114300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03CEF7D-A213-276B-353F-A057E6E0D5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673100</xdr:colOff>
      <xdr:row>1</xdr:row>
      <xdr:rowOff>76200</xdr:rowOff>
    </xdr:from>
    <xdr:to>
      <xdr:col>9</xdr:col>
      <xdr:colOff>330200</xdr:colOff>
      <xdr:row>16</xdr:row>
      <xdr:rowOff>127000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98A8514-F885-CC54-4FC2-0F2F8CD02D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1</xdr:row>
      <xdr:rowOff>76200</xdr:rowOff>
    </xdr:from>
    <xdr:to>
      <xdr:col>8</xdr:col>
      <xdr:colOff>38100</xdr:colOff>
      <xdr:row>14</xdr:row>
      <xdr:rowOff>177800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A9857CD-B41F-192E-4E84-213ADA0EE9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552450</xdr:colOff>
      <xdr:row>1</xdr:row>
      <xdr:rowOff>190500</xdr:rowOff>
    </xdr:from>
    <xdr:to>
      <xdr:col>8</xdr:col>
      <xdr:colOff>171450</xdr:colOff>
      <xdr:row>15</xdr:row>
      <xdr:rowOff>88900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E72AAD5-588D-F6F7-BBD1-6FD9B68E9C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482600</xdr:colOff>
      <xdr:row>1</xdr:row>
      <xdr:rowOff>152400</xdr:rowOff>
    </xdr:from>
    <xdr:to>
      <xdr:col>8</xdr:col>
      <xdr:colOff>101600</xdr:colOff>
      <xdr:row>15</xdr:row>
      <xdr:rowOff>50800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A22B439-3E43-FA0C-9182-F9442CC613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FE501-AD9F-0342-8C84-1DDC5172A356}">
  <dimension ref="A1:B13"/>
  <sheetViews>
    <sheetView zoomScale="120" zoomScaleNormal="120" workbookViewId="0">
      <selection activeCell="L12" sqref="L12"/>
    </sheetView>
  </sheetViews>
  <sheetFormatPr baseColWidth="10" defaultRowHeight="16" x14ac:dyDescent="0.2"/>
  <cols>
    <col min="1" max="1" width="15.1640625" customWidth="1"/>
    <col min="2" max="2" width="13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2000</v>
      </c>
      <c r="B2">
        <f ca="1">RANDBETWEEN(0,100000)</f>
        <v>9968</v>
      </c>
    </row>
    <row r="3" spans="1:2" x14ac:dyDescent="0.2">
      <c r="A3">
        <v>2001</v>
      </c>
      <c r="B3">
        <f t="shared" ref="B3:B13" ca="1" si="0">RANDBETWEEN(0,100000)</f>
        <v>38177</v>
      </c>
    </row>
    <row r="4" spans="1:2" x14ac:dyDescent="0.2">
      <c r="A4">
        <v>2002</v>
      </c>
      <c r="B4">
        <f t="shared" ca="1" si="0"/>
        <v>24772</v>
      </c>
    </row>
    <row r="5" spans="1:2" x14ac:dyDescent="0.2">
      <c r="A5">
        <v>2003</v>
      </c>
      <c r="B5">
        <f t="shared" ca="1" si="0"/>
        <v>91445</v>
      </c>
    </row>
    <row r="6" spans="1:2" x14ac:dyDescent="0.2">
      <c r="A6">
        <v>2004</v>
      </c>
      <c r="B6">
        <f t="shared" ca="1" si="0"/>
        <v>77853</v>
      </c>
    </row>
    <row r="7" spans="1:2" x14ac:dyDescent="0.2">
      <c r="A7">
        <v>2005</v>
      </c>
      <c r="B7">
        <f t="shared" ca="1" si="0"/>
        <v>80887</v>
      </c>
    </row>
    <row r="8" spans="1:2" x14ac:dyDescent="0.2">
      <c r="A8">
        <v>2006</v>
      </c>
      <c r="B8">
        <f t="shared" ca="1" si="0"/>
        <v>5608</v>
      </c>
    </row>
    <row r="9" spans="1:2" x14ac:dyDescent="0.2">
      <c r="A9">
        <v>2007</v>
      </c>
      <c r="B9">
        <f t="shared" ca="1" si="0"/>
        <v>80834</v>
      </c>
    </row>
    <row r="10" spans="1:2" x14ac:dyDescent="0.2">
      <c r="A10">
        <v>2008</v>
      </c>
      <c r="B10">
        <f t="shared" ca="1" si="0"/>
        <v>75050</v>
      </c>
    </row>
    <row r="11" spans="1:2" x14ac:dyDescent="0.2">
      <c r="A11">
        <v>2009</v>
      </c>
      <c r="B11">
        <f t="shared" ca="1" si="0"/>
        <v>77322</v>
      </c>
    </row>
    <row r="12" spans="1:2" x14ac:dyDescent="0.2">
      <c r="A12">
        <v>2010</v>
      </c>
      <c r="B12">
        <f t="shared" ca="1" si="0"/>
        <v>37621</v>
      </c>
    </row>
    <row r="13" spans="1:2" x14ac:dyDescent="0.2">
      <c r="A13">
        <v>2011</v>
      </c>
      <c r="B13">
        <f t="shared" ca="1" si="0"/>
        <v>51341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D4B2-B990-274B-89D2-3DE711646083}">
  <dimension ref="A1:A13"/>
  <sheetViews>
    <sheetView zoomScale="135" workbookViewId="0">
      <selection activeCell="D26" sqref="D26"/>
    </sheetView>
  </sheetViews>
  <sheetFormatPr baseColWidth="10" defaultRowHeight="16" x14ac:dyDescent="0.2"/>
  <cols>
    <col min="1" max="1" width="16.33203125" customWidth="1"/>
  </cols>
  <sheetData>
    <row r="1" spans="1:1" x14ac:dyDescent="0.2">
      <c r="A1" t="s">
        <v>2</v>
      </c>
    </row>
    <row r="2" spans="1:1" x14ac:dyDescent="0.2">
      <c r="A2">
        <f ca="1">RANDBETWEEN(30,40)</f>
        <v>36</v>
      </c>
    </row>
    <row r="3" spans="1:1" x14ac:dyDescent="0.2">
      <c r="A3">
        <f t="shared" ref="A3:A12" ca="1" si="0">RANDBETWEEN(30,40)</f>
        <v>36</v>
      </c>
    </row>
    <row r="4" spans="1:1" x14ac:dyDescent="0.2">
      <c r="A4">
        <f t="shared" ca="1" si="0"/>
        <v>33</v>
      </c>
    </row>
    <row r="5" spans="1:1" x14ac:dyDescent="0.2">
      <c r="A5">
        <f t="shared" ca="1" si="0"/>
        <v>39</v>
      </c>
    </row>
    <row r="6" spans="1:1" x14ac:dyDescent="0.2">
      <c r="A6">
        <f t="shared" ca="1" si="0"/>
        <v>35</v>
      </c>
    </row>
    <row r="7" spans="1:1" x14ac:dyDescent="0.2">
      <c r="A7">
        <f t="shared" ca="1" si="0"/>
        <v>34</v>
      </c>
    </row>
    <row r="8" spans="1:1" x14ac:dyDescent="0.2">
      <c r="A8">
        <f t="shared" ca="1" si="0"/>
        <v>37</v>
      </c>
    </row>
    <row r="9" spans="1:1" x14ac:dyDescent="0.2">
      <c r="A9">
        <f t="shared" ca="1" si="0"/>
        <v>33</v>
      </c>
    </row>
    <row r="10" spans="1:1" x14ac:dyDescent="0.2">
      <c r="A10">
        <f t="shared" ca="1" si="0"/>
        <v>33</v>
      </c>
    </row>
    <row r="11" spans="1:1" x14ac:dyDescent="0.2">
      <c r="A11">
        <f t="shared" ca="1" si="0"/>
        <v>35</v>
      </c>
    </row>
    <row r="12" spans="1:1" x14ac:dyDescent="0.2">
      <c r="A12">
        <f t="shared" ca="1" si="0"/>
        <v>34</v>
      </c>
    </row>
    <row r="13" spans="1:1" x14ac:dyDescent="0.2">
      <c r="A13">
        <f ca="1">RANDBETWEEN(30,40)</f>
        <v>38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47BA1-91FF-A941-BD28-33A5F803D564}">
  <dimension ref="A1:C7"/>
  <sheetViews>
    <sheetView workbookViewId="0">
      <selection activeCell="H25" sqref="H25"/>
    </sheetView>
  </sheetViews>
  <sheetFormatPr baseColWidth="10" defaultRowHeight="16" x14ac:dyDescent="0.2"/>
  <sheetData>
    <row r="1" spans="1:3" x14ac:dyDescent="0.2">
      <c r="A1" t="s">
        <v>0</v>
      </c>
      <c r="B1" t="s">
        <v>3</v>
      </c>
      <c r="C1" t="s">
        <v>4</v>
      </c>
    </row>
    <row r="2" spans="1:3" x14ac:dyDescent="0.2">
      <c r="A2">
        <v>2019</v>
      </c>
      <c r="B2">
        <v>45</v>
      </c>
      <c r="C2">
        <v>80</v>
      </c>
    </row>
    <row r="3" spans="1:3" x14ac:dyDescent="0.2">
      <c r="A3">
        <v>2020</v>
      </c>
      <c r="B3">
        <v>47</v>
      </c>
      <c r="C3">
        <v>80</v>
      </c>
    </row>
    <row r="4" spans="1:3" x14ac:dyDescent="0.2">
      <c r="A4">
        <v>2021</v>
      </c>
      <c r="B4">
        <v>49</v>
      </c>
      <c r="C4">
        <v>80</v>
      </c>
    </row>
    <row r="5" spans="1:3" x14ac:dyDescent="0.2">
      <c r="A5">
        <v>2022</v>
      </c>
      <c r="B5">
        <v>52</v>
      </c>
      <c r="C5">
        <v>80</v>
      </c>
    </row>
    <row r="6" spans="1:3" x14ac:dyDescent="0.2">
      <c r="A6">
        <v>2023</v>
      </c>
      <c r="B6">
        <v>55</v>
      </c>
      <c r="C6">
        <v>80</v>
      </c>
    </row>
    <row r="7" spans="1:3" x14ac:dyDescent="0.2">
      <c r="A7">
        <v>2024</v>
      </c>
      <c r="B7">
        <v>58</v>
      </c>
      <c r="C7">
        <v>80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3CB1F-F9CD-CD4B-BAB2-94187728E175}">
  <dimension ref="A1:B7"/>
  <sheetViews>
    <sheetView workbookViewId="0">
      <selection sqref="A1:B7"/>
    </sheetView>
  </sheetViews>
  <sheetFormatPr baseColWidth="10" defaultRowHeight="16" x14ac:dyDescent="0.2"/>
  <cols>
    <col min="1" max="1" width="14.5" customWidth="1"/>
    <col min="2" max="2" width="19" customWidth="1"/>
  </cols>
  <sheetData>
    <row r="1" spans="1:2" x14ac:dyDescent="0.2">
      <c r="A1" t="s">
        <v>5</v>
      </c>
      <c r="B1" t="s">
        <v>6</v>
      </c>
    </row>
    <row r="2" spans="1:2" x14ac:dyDescent="0.2">
      <c r="A2" t="s">
        <v>7</v>
      </c>
      <c r="B2">
        <v>8</v>
      </c>
    </row>
    <row r="3" spans="1:2" x14ac:dyDescent="0.2">
      <c r="A3" t="s">
        <v>8</v>
      </c>
      <c r="B3">
        <v>8</v>
      </c>
    </row>
    <row r="4" spans="1:2" x14ac:dyDescent="0.2">
      <c r="A4" t="s">
        <v>9</v>
      </c>
      <c r="B4">
        <v>8</v>
      </c>
    </row>
    <row r="5" spans="1:2" x14ac:dyDescent="0.2">
      <c r="A5" t="s">
        <v>10</v>
      </c>
      <c r="B5">
        <v>8</v>
      </c>
    </row>
    <row r="6" spans="1:2" x14ac:dyDescent="0.2">
      <c r="A6" t="s">
        <v>11</v>
      </c>
      <c r="B6">
        <v>5</v>
      </c>
    </row>
    <row r="7" spans="1:2" x14ac:dyDescent="0.2">
      <c r="A7" t="s">
        <v>12</v>
      </c>
      <c r="B7">
        <v>12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A567A-9423-9D4C-A754-993F62DEE295}">
  <dimension ref="A1:B6"/>
  <sheetViews>
    <sheetView zoomScale="120" zoomScaleNormal="120" workbookViewId="0">
      <selection activeCell="E5" sqref="E5"/>
    </sheetView>
  </sheetViews>
  <sheetFormatPr baseColWidth="10" defaultRowHeight="16" x14ac:dyDescent="0.2"/>
  <cols>
    <col min="1" max="1" width="33.83203125" customWidth="1"/>
    <col min="2" max="2" width="15.5" customWidth="1"/>
  </cols>
  <sheetData>
    <row r="1" spans="1:2" x14ac:dyDescent="0.2">
      <c r="A1" t="s">
        <v>13</v>
      </c>
      <c r="B1" t="s">
        <v>14</v>
      </c>
    </row>
    <row r="2" spans="1:2" x14ac:dyDescent="0.2">
      <c r="A2" t="s">
        <v>15</v>
      </c>
      <c r="B2">
        <v>15</v>
      </c>
    </row>
    <row r="3" spans="1:2" x14ac:dyDescent="0.2">
      <c r="A3" t="s">
        <v>16</v>
      </c>
      <c r="B3">
        <v>40</v>
      </c>
    </row>
    <row r="4" spans="1:2" x14ac:dyDescent="0.2">
      <c r="A4" t="s">
        <v>17</v>
      </c>
      <c r="B4">
        <v>20</v>
      </c>
    </row>
    <row r="5" spans="1:2" x14ac:dyDescent="0.2">
      <c r="A5" t="s">
        <v>18</v>
      </c>
      <c r="B5">
        <v>20</v>
      </c>
    </row>
    <row r="6" spans="1:2" x14ac:dyDescent="0.2">
      <c r="A6" t="s">
        <v>19</v>
      </c>
      <c r="B6">
        <v>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E3AEB-068C-4A4E-9894-667DDCCB70F5}">
  <dimension ref="A1:B16"/>
  <sheetViews>
    <sheetView workbookViewId="0">
      <selection activeCell="G25" sqref="G25"/>
    </sheetView>
  </sheetViews>
  <sheetFormatPr baseColWidth="10" defaultRowHeight="16" x14ac:dyDescent="0.2"/>
  <cols>
    <col min="1" max="2" width="17.1640625" customWidth="1"/>
  </cols>
  <sheetData>
    <row r="1" spans="1:2" x14ac:dyDescent="0.2">
      <c r="A1" t="s">
        <v>20</v>
      </c>
      <c r="B1" t="s">
        <v>21</v>
      </c>
    </row>
    <row r="2" spans="1:2" x14ac:dyDescent="0.2">
      <c r="A2">
        <v>1</v>
      </c>
      <c r="B2">
        <v>6</v>
      </c>
    </row>
    <row r="3" spans="1:2" x14ac:dyDescent="0.2">
      <c r="A3">
        <v>2</v>
      </c>
      <c r="B3">
        <v>3</v>
      </c>
    </row>
    <row r="4" spans="1:2" x14ac:dyDescent="0.2">
      <c r="A4">
        <v>3</v>
      </c>
      <c r="B4">
        <v>7</v>
      </c>
    </row>
    <row r="5" spans="1:2" x14ac:dyDescent="0.2">
      <c r="A5">
        <v>4</v>
      </c>
      <c r="B5">
        <v>4</v>
      </c>
    </row>
    <row r="6" spans="1:2" x14ac:dyDescent="0.2">
      <c r="A6">
        <v>5</v>
      </c>
      <c r="B6">
        <v>6</v>
      </c>
    </row>
    <row r="7" spans="1:2" x14ac:dyDescent="0.2">
      <c r="A7">
        <v>6</v>
      </c>
      <c r="B7">
        <v>2</v>
      </c>
    </row>
    <row r="8" spans="1:2" x14ac:dyDescent="0.2">
      <c r="A8">
        <v>7</v>
      </c>
      <c r="B8">
        <v>5</v>
      </c>
    </row>
    <row r="9" spans="1:2" x14ac:dyDescent="0.2">
      <c r="A9">
        <v>8</v>
      </c>
      <c r="B9">
        <v>3</v>
      </c>
    </row>
    <row r="10" spans="1:2" x14ac:dyDescent="0.2">
      <c r="A10">
        <v>9</v>
      </c>
      <c r="B10">
        <v>6</v>
      </c>
    </row>
    <row r="11" spans="1:2" x14ac:dyDescent="0.2">
      <c r="A11">
        <v>10</v>
      </c>
      <c r="B11">
        <v>4</v>
      </c>
    </row>
    <row r="12" spans="1:2" x14ac:dyDescent="0.2">
      <c r="A12">
        <v>11</v>
      </c>
      <c r="B12">
        <v>7</v>
      </c>
    </row>
    <row r="13" spans="1:2" x14ac:dyDescent="0.2">
      <c r="A13">
        <v>12</v>
      </c>
      <c r="B13">
        <v>3</v>
      </c>
    </row>
    <row r="14" spans="1:2" x14ac:dyDescent="0.2">
      <c r="A14">
        <v>13</v>
      </c>
      <c r="B14">
        <v>5</v>
      </c>
    </row>
    <row r="15" spans="1:2" x14ac:dyDescent="0.2">
      <c r="A15">
        <v>14</v>
      </c>
      <c r="B15">
        <v>4</v>
      </c>
    </row>
    <row r="16" spans="1:2" x14ac:dyDescent="0.2">
      <c r="A16">
        <v>15</v>
      </c>
      <c r="B16">
        <v>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17504-F368-AF40-90F3-52328DCE2A96}">
  <dimension ref="A1:B6"/>
  <sheetViews>
    <sheetView workbookViewId="0">
      <selection activeCell="I6" sqref="I6"/>
    </sheetView>
  </sheetViews>
  <sheetFormatPr baseColWidth="10" defaultRowHeight="16" x14ac:dyDescent="0.2"/>
  <cols>
    <col min="1" max="1" width="16.1640625" customWidth="1"/>
    <col min="2" max="2" width="15.6640625" customWidth="1"/>
  </cols>
  <sheetData>
    <row r="1" spans="1:2" x14ac:dyDescent="0.2">
      <c r="A1" t="s">
        <v>22</v>
      </c>
      <c r="B1" t="s">
        <v>6</v>
      </c>
    </row>
    <row r="2" spans="1:2" x14ac:dyDescent="0.2">
      <c r="A2" t="s">
        <v>23</v>
      </c>
      <c r="B2">
        <v>9</v>
      </c>
    </row>
    <row r="3" spans="1:2" x14ac:dyDescent="0.2">
      <c r="A3" t="s">
        <v>24</v>
      </c>
      <c r="B3">
        <v>12</v>
      </c>
    </row>
    <row r="4" spans="1:2" x14ac:dyDescent="0.2">
      <c r="A4" t="s">
        <v>25</v>
      </c>
      <c r="B4">
        <v>18</v>
      </c>
    </row>
    <row r="5" spans="1:2" x14ac:dyDescent="0.2">
      <c r="A5" t="s">
        <v>26</v>
      </c>
      <c r="B5">
        <v>7</v>
      </c>
    </row>
    <row r="6" spans="1:2" x14ac:dyDescent="0.2">
      <c r="A6" t="s">
        <v>27</v>
      </c>
      <c r="B6">
        <v>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FC3E7-5E0C-7141-80AB-B427C362F971}">
  <dimension ref="A1:B7"/>
  <sheetViews>
    <sheetView workbookViewId="0">
      <selection activeCell="B1" sqref="B1:B1048576"/>
    </sheetView>
  </sheetViews>
  <sheetFormatPr baseColWidth="10" defaultRowHeight="16" x14ac:dyDescent="0.2"/>
  <cols>
    <col min="1" max="1" width="7.5" customWidth="1"/>
    <col min="2" max="2" width="18.83203125" customWidth="1"/>
  </cols>
  <sheetData>
    <row r="1" spans="1:2" x14ac:dyDescent="0.2">
      <c r="A1" t="s">
        <v>28</v>
      </c>
      <c r="B1" t="s">
        <v>29</v>
      </c>
    </row>
    <row r="2" spans="1:2" x14ac:dyDescent="0.2">
      <c r="A2">
        <v>2019</v>
      </c>
      <c r="B2">
        <v>14.5</v>
      </c>
    </row>
    <row r="3" spans="1:2" x14ac:dyDescent="0.2">
      <c r="A3">
        <v>2020</v>
      </c>
      <c r="B3">
        <v>13.2</v>
      </c>
    </row>
    <row r="4" spans="1:2" x14ac:dyDescent="0.2">
      <c r="A4">
        <v>2021</v>
      </c>
      <c r="B4">
        <v>11.8</v>
      </c>
    </row>
    <row r="5" spans="1:2" x14ac:dyDescent="0.2">
      <c r="A5">
        <v>2022</v>
      </c>
      <c r="B5">
        <v>10.1</v>
      </c>
    </row>
    <row r="6" spans="1:2" x14ac:dyDescent="0.2">
      <c r="A6">
        <v>2023</v>
      </c>
      <c r="B6">
        <v>8.6</v>
      </c>
    </row>
    <row r="7" spans="1:2" x14ac:dyDescent="0.2">
      <c r="A7">
        <v>2024</v>
      </c>
      <c r="B7">
        <v>7.3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DB2B7-3D54-F44D-8513-D4F19B9C6F86}">
  <dimension ref="A1:B5"/>
  <sheetViews>
    <sheetView workbookViewId="0">
      <selection activeCell="G25" sqref="G25"/>
    </sheetView>
  </sheetViews>
  <sheetFormatPr baseColWidth="10" defaultRowHeight="16" x14ac:dyDescent="0.2"/>
  <sheetData>
    <row r="1" spans="1:2" x14ac:dyDescent="0.2">
      <c r="A1" t="s">
        <v>30</v>
      </c>
      <c r="B1" t="s">
        <v>31</v>
      </c>
    </row>
    <row r="2" spans="1:2" x14ac:dyDescent="0.2">
      <c r="A2" t="s">
        <v>32</v>
      </c>
      <c r="B2">
        <v>3</v>
      </c>
    </row>
    <row r="3" spans="1:2" x14ac:dyDescent="0.2">
      <c r="A3" t="s">
        <v>33</v>
      </c>
      <c r="B3">
        <v>7</v>
      </c>
    </row>
    <row r="4" spans="1:2" x14ac:dyDescent="0.2">
      <c r="A4" t="s">
        <v>34</v>
      </c>
      <c r="B4">
        <v>6</v>
      </c>
    </row>
    <row r="5" spans="1:2" x14ac:dyDescent="0.2">
      <c r="A5" t="s">
        <v>35</v>
      </c>
      <c r="B5">
        <v>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CA5C0-3ACA-FB4C-B848-3E17A631A2F9}">
  <dimension ref="A1:B5"/>
  <sheetViews>
    <sheetView workbookViewId="0">
      <selection activeCell="J17" sqref="J17"/>
    </sheetView>
  </sheetViews>
  <sheetFormatPr baseColWidth="10" defaultRowHeight="16" x14ac:dyDescent="0.2"/>
  <cols>
    <col min="1" max="1" width="15" customWidth="1"/>
    <col min="2" max="2" width="15.83203125" customWidth="1"/>
  </cols>
  <sheetData>
    <row r="1" spans="1:2" x14ac:dyDescent="0.2">
      <c r="A1" s="1" t="s">
        <v>36</v>
      </c>
      <c r="B1" s="1" t="s">
        <v>37</v>
      </c>
    </row>
    <row r="2" spans="1:2" x14ac:dyDescent="0.2">
      <c r="A2" t="s">
        <v>38</v>
      </c>
      <c r="B2">
        <v>40</v>
      </c>
    </row>
    <row r="3" spans="1:2" x14ac:dyDescent="0.2">
      <c r="A3" t="s">
        <v>39</v>
      </c>
      <c r="B3">
        <v>30</v>
      </c>
    </row>
    <row r="4" spans="1:2" x14ac:dyDescent="0.2">
      <c r="A4" t="s">
        <v>40</v>
      </c>
      <c r="B4">
        <v>20</v>
      </c>
    </row>
    <row r="5" spans="1:2" x14ac:dyDescent="0.2">
      <c r="A5" t="s">
        <v>41</v>
      </c>
      <c r="B5">
        <v>10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0546B-056D-4049-9F91-1493AAD2A9B4}">
  <dimension ref="A1:B10"/>
  <sheetViews>
    <sheetView tabSelected="1" workbookViewId="0">
      <selection activeCell="K27" sqref="K27"/>
    </sheetView>
  </sheetViews>
  <sheetFormatPr baseColWidth="10" defaultRowHeight="16" x14ac:dyDescent="0.2"/>
  <cols>
    <col min="19" max="19" width="10.83203125" customWidth="1"/>
  </cols>
  <sheetData>
    <row r="1" spans="1:2" x14ac:dyDescent="0.2">
      <c r="A1" s="1" t="s">
        <v>42</v>
      </c>
      <c r="B1" s="1" t="s">
        <v>43</v>
      </c>
    </row>
    <row r="2" spans="1:2" x14ac:dyDescent="0.2">
      <c r="A2">
        <v>5</v>
      </c>
      <c r="B2">
        <v>30</v>
      </c>
    </row>
    <row r="3" spans="1:2" x14ac:dyDescent="0.2">
      <c r="A3">
        <v>10</v>
      </c>
      <c r="B3">
        <v>45</v>
      </c>
    </row>
    <row r="4" spans="1:2" x14ac:dyDescent="0.2">
      <c r="A4">
        <v>15</v>
      </c>
      <c r="B4">
        <v>55</v>
      </c>
    </row>
    <row r="5" spans="1:2" x14ac:dyDescent="0.2">
      <c r="A5">
        <v>20</v>
      </c>
      <c r="B5">
        <v>65</v>
      </c>
    </row>
    <row r="6" spans="1:2" x14ac:dyDescent="0.2">
      <c r="A6">
        <v>25</v>
      </c>
      <c r="B6">
        <v>77.5</v>
      </c>
    </row>
    <row r="7" spans="1:2" x14ac:dyDescent="0.2">
      <c r="A7">
        <v>30</v>
      </c>
      <c r="B7">
        <v>89</v>
      </c>
    </row>
    <row r="8" spans="1:2" x14ac:dyDescent="0.2">
      <c r="A8">
        <v>35</v>
      </c>
      <c r="B8">
        <v>100.5</v>
      </c>
    </row>
    <row r="9" spans="1:2" x14ac:dyDescent="0.2">
      <c r="A9">
        <v>40</v>
      </c>
      <c r="B9">
        <v>112</v>
      </c>
    </row>
    <row r="10" spans="1:2" x14ac:dyDescent="0.2">
      <c r="A10">
        <v>45</v>
      </c>
      <c r="B10">
        <v>123.5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32C0A-CF58-5340-84DC-A558CFA125C7}">
  <dimension ref="A1:B6"/>
  <sheetViews>
    <sheetView workbookViewId="0">
      <selection activeCell="O32" sqref="O32"/>
    </sheetView>
  </sheetViews>
  <sheetFormatPr baseColWidth="10" defaultRowHeight="16" x14ac:dyDescent="0.2"/>
  <cols>
    <col min="2" max="2" width="13.6640625" customWidth="1"/>
  </cols>
  <sheetData>
    <row r="1" spans="1:2" x14ac:dyDescent="0.2">
      <c r="A1" s="1" t="s">
        <v>28</v>
      </c>
      <c r="B1" s="1" t="s">
        <v>44</v>
      </c>
    </row>
    <row r="2" spans="1:2" x14ac:dyDescent="0.2">
      <c r="A2" t="s">
        <v>45</v>
      </c>
      <c r="B2">
        <v>120</v>
      </c>
    </row>
    <row r="3" spans="1:2" x14ac:dyDescent="0.2">
      <c r="A3" t="s">
        <v>46</v>
      </c>
      <c r="B3">
        <v>130</v>
      </c>
    </row>
    <row r="4" spans="1:2" x14ac:dyDescent="0.2">
      <c r="A4" t="s">
        <v>47</v>
      </c>
      <c r="B4">
        <v>125</v>
      </c>
    </row>
    <row r="5" spans="1:2" x14ac:dyDescent="0.2">
      <c r="A5" t="s">
        <v>48</v>
      </c>
      <c r="B5">
        <v>140</v>
      </c>
    </row>
    <row r="6" spans="1:2" x14ac:dyDescent="0.2">
      <c r="A6" t="s">
        <v>49</v>
      </c>
      <c r="B6">
        <v>160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Лист1</vt:lpstr>
      <vt:lpstr>Лист2</vt:lpstr>
      <vt:lpstr>Лист3</vt:lpstr>
      <vt:lpstr>Лист4</vt:lpstr>
      <vt:lpstr>Лист5</vt:lpstr>
      <vt:lpstr>Лист6</vt:lpstr>
      <vt:lpstr>Лист7</vt:lpstr>
      <vt:lpstr>Лист8</vt:lpstr>
      <vt:lpstr>Лист9</vt:lpstr>
      <vt:lpstr>Лист10</vt:lpstr>
      <vt:lpstr>Лист11</vt:lpstr>
      <vt:lpstr>Лист12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calexzz</dc:creator>
  <cp:lastModifiedBy>calexzz</cp:lastModifiedBy>
  <dcterms:created xsi:type="dcterms:W3CDTF">2025-12-16T06:11:56Z</dcterms:created>
  <dcterms:modified xsi:type="dcterms:W3CDTF">2025-12-17T09:32:03Z</dcterms:modified>
</cp:coreProperties>
</file>