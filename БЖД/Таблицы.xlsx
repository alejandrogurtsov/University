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exzz/Desktop/University/БЖД/"/>
    </mc:Choice>
  </mc:AlternateContent>
  <xr:revisionPtr revIDLastSave="0" documentId="13_ncr:1_{D2335BFA-E554-E248-A148-E60D4525258B}" xr6:coauthVersionLast="47" xr6:coauthVersionMax="47" xr10:uidLastSave="{00000000-0000-0000-0000-000000000000}"/>
  <bookViews>
    <workbookView xWindow="160" yWindow="920" windowWidth="29920" windowHeight="18560" xr2:uid="{91081026-433A-A742-8CCF-D78F6002AB97}"/>
  </bookViews>
  <sheets>
    <sheet name="Лист1" sheetId="1" r:id="rId1"/>
    <sheet name="Лист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C3" i="1"/>
  <c r="E3" i="1" s="1"/>
</calcChain>
</file>

<file path=xl/sharedStrings.xml><?xml version="1.0" encoding="utf-8"?>
<sst xmlns="http://schemas.openxmlformats.org/spreadsheetml/2006/main" count="38" uniqueCount="34">
  <si>
    <t>Демографическийй</t>
  </si>
  <si>
    <t>Статистические данные по территории</t>
  </si>
  <si>
    <t>Показатель на 1000 населения</t>
  </si>
  <si>
    <t>Фоновый</t>
  </si>
  <si>
    <t>Превышение фона (раз)</t>
  </si>
  <si>
    <t>Смертность</t>
  </si>
  <si>
    <t>Младенческая смертность</t>
  </si>
  <si>
    <t>Рождаемость</t>
  </si>
  <si>
    <t>Естественный прирост (дефицит) населения</t>
  </si>
  <si>
    <t>Название показателя (группа заболеваний)</t>
  </si>
  <si>
    <t>Абсолютное число случаев</t>
  </si>
  <si>
    <t>Ранг</t>
  </si>
  <si>
    <t>Долевой вклад (%)</t>
  </si>
  <si>
    <t>Фоновое значение в регионе</t>
  </si>
  <si>
    <t>Превышение фона</t>
  </si>
  <si>
    <t>Фоновое значение в РФ</t>
  </si>
  <si>
    <t>Превышение фона РФ</t>
  </si>
  <si>
    <t>Вceгo выявлено заболеваний за год</t>
  </si>
  <si>
    <t>Инфекционные и паразитарные заболевания</t>
  </si>
  <si>
    <t>Новообразования (онкология)</t>
  </si>
  <si>
    <t>Эндокринные заболевания</t>
  </si>
  <si>
    <t>Болезни крови</t>
  </si>
  <si>
    <t>Психические расстройства</t>
  </si>
  <si>
    <t>Болезни нервной системы</t>
  </si>
  <si>
    <t>Болезни органов кровообращения</t>
  </si>
  <si>
    <t>Болезни органов дыхания</t>
  </si>
  <si>
    <t>Болезни органов пищеварения</t>
  </si>
  <si>
    <t>Болезни мочеполовой системы</t>
  </si>
  <si>
    <t>Болезни костно-мышечной системы</t>
  </si>
  <si>
    <t>Аномалии развития</t>
  </si>
  <si>
    <t>Состояния перинатального периода</t>
  </si>
  <si>
    <t>Травмы и отравления</t>
  </si>
  <si>
    <t>-</t>
  </si>
  <si>
    <t>0.96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</si>
</sst>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charset val="204"/>
      <scheme val="minor"/>
    </font>
    <font>
      <sz val="16.5"/>
      <color theme="1"/>
      <name val="Times New Roman"/>
      <family val="1"/>
    </font>
    <font>
      <sz val="16"/>
      <color theme="1"/>
      <name val="Times New Roman"/>
      <family val="1"/>
    </font>
    <font>
      <sz val="26"/>
      <color theme="1"/>
      <name val="Didot"/>
      <family val="3"/>
    </font>
    <font>
      <sz val="16.5"/>
      <color theme="1"/>
      <name val="Arial"/>
      <family val="2"/>
    </font>
    <font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1" fillId="0" borderId="0" xfId="0" applyFont="1" applyBorder="1" applyAlignment="1">
      <alignment horizontal="left" vertical="center" wrapText="1" indent="3"/>
    </xf>
    <xf numFmtId="0" fontId="2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/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 indent="2"/>
    </xf>
    <xf numFmtId="0" fontId="5" fillId="0" borderId="0" xfId="0" applyFont="1" applyBorder="1" applyAlignment="1">
      <alignment horizontal="center" vertical="center" wrapText="1"/>
    </xf>
    <xf numFmtId="2" fontId="5" fillId="0" borderId="0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 indent="5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 indent="2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E0FB0-87E4-FA47-A30F-4CF2FD8B79AC}">
  <dimension ref="A1:H6"/>
  <sheetViews>
    <sheetView tabSelected="1" zoomScale="90" zoomScaleNormal="90" workbookViewId="0">
      <selection activeCell="C25" sqref="C25"/>
    </sheetView>
  </sheetViews>
  <sheetFormatPr baseColWidth="10" defaultRowHeight="16" x14ac:dyDescent="0.2"/>
  <cols>
    <col min="1" max="1" width="25.6640625" bestFit="1" customWidth="1"/>
    <col min="2" max="2" width="48.6640625" bestFit="1" customWidth="1"/>
    <col min="3" max="3" width="37.83203125" bestFit="1" customWidth="1"/>
    <col min="4" max="4" width="12.83203125" bestFit="1" customWidth="1"/>
    <col min="5" max="5" width="32" bestFit="1" customWidth="1"/>
    <col min="6" max="18" width="19.1640625" customWidth="1"/>
  </cols>
  <sheetData>
    <row r="1" spans="1:8" x14ac:dyDescent="0.2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</row>
    <row r="2" spans="1:8" x14ac:dyDescent="0.2">
      <c r="A2" s="7"/>
      <c r="B2" s="7"/>
      <c r="C2" s="7"/>
      <c r="D2" s="7"/>
      <c r="E2" s="8"/>
    </row>
    <row r="3" spans="1:8" ht="21" x14ac:dyDescent="0.2">
      <c r="A3" s="9" t="s">
        <v>5</v>
      </c>
      <c r="B3" s="10">
        <v>13936</v>
      </c>
      <c r="C3" s="10">
        <f>B3/1041800 * 1000</f>
        <v>13.376847763486273</v>
      </c>
      <c r="D3" s="10">
        <v>15.9</v>
      </c>
      <c r="E3" s="10">
        <f>C3/D3</f>
        <v>0.84131118009347627</v>
      </c>
    </row>
    <row r="4" spans="1:8" ht="46" x14ac:dyDescent="0.2">
      <c r="A4" s="11" t="s">
        <v>6</v>
      </c>
      <c r="B4" s="10">
        <v>255</v>
      </c>
      <c r="C4" s="10">
        <v>24.57</v>
      </c>
      <c r="D4" s="10">
        <v>8.6</v>
      </c>
      <c r="E4" s="10">
        <f>C4/D4</f>
        <v>2.8569767441860465</v>
      </c>
    </row>
    <row r="5" spans="1:8" ht="23" x14ac:dyDescent="0.2">
      <c r="A5" s="12" t="s">
        <v>7</v>
      </c>
      <c r="B5" s="10">
        <v>10233</v>
      </c>
      <c r="C5" s="10">
        <v>9.82</v>
      </c>
      <c r="D5" s="10">
        <v>9</v>
      </c>
      <c r="E5" s="10">
        <f>C5/D5</f>
        <v>1.0911111111111111</v>
      </c>
    </row>
    <row r="6" spans="1:8" ht="92" x14ac:dyDescent="0.45">
      <c r="A6" s="13" t="s">
        <v>8</v>
      </c>
      <c r="B6" s="10">
        <v>-3703</v>
      </c>
      <c r="C6" s="10">
        <v>-3.55</v>
      </c>
      <c r="D6" s="10">
        <v>-6.9</v>
      </c>
      <c r="E6" s="10">
        <f>C6/D6</f>
        <v>0.51449275362318836</v>
      </c>
      <c r="H6" s="1"/>
    </row>
  </sheetData>
  <mergeCells count="5">
    <mergeCell ref="B1:B2"/>
    <mergeCell ref="C1:C2"/>
    <mergeCell ref="E1:E2"/>
    <mergeCell ref="A1:A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2167F-1E07-6D4C-8CC7-7FD12D533783}">
  <dimension ref="A1:P9"/>
  <sheetViews>
    <sheetView workbookViewId="0">
      <selection activeCell="J12" sqref="J12"/>
    </sheetView>
  </sheetViews>
  <sheetFormatPr baseColWidth="10" defaultRowHeight="16" x14ac:dyDescent="0.2"/>
  <cols>
    <col min="1" max="1" width="17.83203125" style="6" bestFit="1" customWidth="1"/>
    <col min="2" max="2" width="15.33203125" style="6" bestFit="1" customWidth="1"/>
    <col min="3" max="3" width="15.5" style="6" bestFit="1" customWidth="1"/>
    <col min="4" max="4" width="16.33203125" style="6" bestFit="1" customWidth="1"/>
    <col min="5" max="5" width="17.1640625" style="6" bestFit="1" customWidth="1"/>
    <col min="6" max="6" width="11.33203125" style="6" bestFit="1" customWidth="1"/>
    <col min="7" max="7" width="17.5" style="6" bestFit="1" customWidth="1"/>
    <col min="8" max="8" width="11.6640625" style="6" bestFit="1" customWidth="1"/>
    <col min="9" max="9" width="17.6640625" style="6" customWidth="1"/>
    <col min="10" max="10" width="11.83203125" style="6" bestFit="1" customWidth="1"/>
    <col min="11" max="12" width="17.6640625" style="6" customWidth="1"/>
    <col min="13" max="13" width="14.5" style="6" bestFit="1" customWidth="1"/>
    <col min="14" max="14" width="14" style="6" bestFit="1" customWidth="1"/>
    <col min="15" max="15" width="16.83203125" style="6" bestFit="1" customWidth="1"/>
    <col min="16" max="16" width="15.1640625" style="6" bestFit="1" customWidth="1"/>
    <col min="17" max="16384" width="10.83203125" style="6"/>
  </cols>
  <sheetData>
    <row r="1" spans="1:16" ht="115" x14ac:dyDescent="0.2">
      <c r="A1" s="2" t="s">
        <v>9</v>
      </c>
      <c r="B1" s="3" t="s">
        <v>17</v>
      </c>
      <c r="C1" s="4" t="s">
        <v>18</v>
      </c>
      <c r="D1" s="4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</row>
    <row r="2" spans="1:16" ht="69" x14ac:dyDescent="0.2">
      <c r="A2" s="2" t="s">
        <v>10</v>
      </c>
      <c r="B2" s="3">
        <v>14432</v>
      </c>
      <c r="C2" s="6">
        <v>3048</v>
      </c>
      <c r="D2" s="6">
        <v>19</v>
      </c>
      <c r="E2" s="6">
        <v>138</v>
      </c>
      <c r="F2" s="6">
        <v>162</v>
      </c>
      <c r="G2" s="6">
        <v>212</v>
      </c>
      <c r="H2" s="6">
        <v>996</v>
      </c>
      <c r="I2" s="6">
        <v>134</v>
      </c>
      <c r="J2" s="6">
        <v>9458</v>
      </c>
      <c r="K2" s="6">
        <v>435</v>
      </c>
      <c r="L2" s="6">
        <v>241</v>
      </c>
      <c r="M2" s="6">
        <v>242</v>
      </c>
      <c r="N2" s="6">
        <v>79</v>
      </c>
      <c r="O2" s="6">
        <v>32</v>
      </c>
      <c r="P2" s="6">
        <v>620</v>
      </c>
    </row>
    <row r="3" spans="1:16" ht="69" x14ac:dyDescent="0.2">
      <c r="A3" s="2" t="s">
        <v>2</v>
      </c>
      <c r="B3" s="3">
        <v>1577.89</v>
      </c>
      <c r="C3" s="6">
        <v>333.24</v>
      </c>
      <c r="D3" s="6">
        <v>2.08</v>
      </c>
      <c r="E3" s="6">
        <v>15.09</v>
      </c>
      <c r="F3" s="6">
        <v>17.71</v>
      </c>
      <c r="G3" s="6">
        <v>23.18</v>
      </c>
      <c r="H3" s="6">
        <v>108.89</v>
      </c>
      <c r="I3" s="6">
        <v>14.65</v>
      </c>
      <c r="J3" s="6">
        <v>1034</v>
      </c>
      <c r="K3" s="6">
        <v>47.56</v>
      </c>
      <c r="L3" s="6">
        <v>26.35</v>
      </c>
      <c r="M3" s="6">
        <v>26.46</v>
      </c>
      <c r="N3" s="6">
        <v>8.64</v>
      </c>
      <c r="O3" s="6">
        <v>3.5</v>
      </c>
      <c r="P3" s="6">
        <v>67.78</v>
      </c>
    </row>
    <row r="4" spans="1:16" ht="23" x14ac:dyDescent="0.2">
      <c r="A4" s="2" t="s">
        <v>11</v>
      </c>
      <c r="B4" s="3" t="s">
        <v>32</v>
      </c>
      <c r="C4" s="6">
        <v>2</v>
      </c>
      <c r="D4" s="6">
        <v>13</v>
      </c>
      <c r="E4" s="6">
        <v>7</v>
      </c>
      <c r="F4" s="6">
        <v>6</v>
      </c>
      <c r="G4" s="6">
        <v>5</v>
      </c>
      <c r="H4" s="6">
        <v>4</v>
      </c>
      <c r="I4" s="6">
        <v>8</v>
      </c>
      <c r="J4" s="6">
        <v>1</v>
      </c>
      <c r="K4" s="6">
        <v>3</v>
      </c>
      <c r="L4" s="6">
        <v>4</v>
      </c>
      <c r="M4" s="6">
        <v>4</v>
      </c>
      <c r="N4" s="6">
        <v>10</v>
      </c>
      <c r="O4" s="6">
        <v>12</v>
      </c>
      <c r="P4" s="6">
        <v>9</v>
      </c>
    </row>
    <row r="5" spans="1:16" ht="46" x14ac:dyDescent="0.2">
      <c r="A5" s="2" t="s">
        <v>12</v>
      </c>
      <c r="B5" s="3" t="s">
        <v>32</v>
      </c>
      <c r="C5" s="6">
        <v>21.12</v>
      </c>
      <c r="D5" s="6">
        <v>0.13</v>
      </c>
      <c r="E5" s="6" t="s">
        <v>33</v>
      </c>
      <c r="F5" s="6">
        <v>1.1200000000000001</v>
      </c>
      <c r="G5" s="6">
        <v>11.47</v>
      </c>
      <c r="H5" s="6">
        <v>6.9</v>
      </c>
      <c r="I5" s="6">
        <v>0.93</v>
      </c>
      <c r="J5" s="6">
        <v>65.53</v>
      </c>
      <c r="K5" s="6">
        <v>3.01</v>
      </c>
      <c r="L5" s="6">
        <v>1.67</v>
      </c>
      <c r="M5" s="6">
        <v>1.68</v>
      </c>
      <c r="N5" s="6">
        <v>0.55000000000000004</v>
      </c>
      <c r="O5" s="6">
        <v>0.22</v>
      </c>
      <c r="P5" s="6">
        <v>4.3</v>
      </c>
    </row>
    <row r="6" spans="1:16" ht="69" x14ac:dyDescent="0.2">
      <c r="A6" s="2" t="s">
        <v>13</v>
      </c>
      <c r="B6" s="3">
        <v>650.72</v>
      </c>
      <c r="C6" s="6">
        <v>67.72</v>
      </c>
      <c r="D6" s="6">
        <v>0.38</v>
      </c>
      <c r="E6" s="6">
        <v>3.56</v>
      </c>
      <c r="F6" s="6">
        <v>3.09</v>
      </c>
      <c r="G6" s="6">
        <v>56.81</v>
      </c>
      <c r="H6" s="6">
        <v>105.42</v>
      </c>
      <c r="I6" s="6">
        <v>540.03</v>
      </c>
      <c r="J6" s="6">
        <v>67.72</v>
      </c>
      <c r="K6" s="6">
        <v>18.989999999999998</v>
      </c>
      <c r="L6" s="6">
        <v>31.51</v>
      </c>
      <c r="M6" s="6">
        <v>23.34</v>
      </c>
      <c r="N6" s="6">
        <v>4.88</v>
      </c>
      <c r="O6" s="6">
        <v>43.75</v>
      </c>
      <c r="P6" s="6">
        <v>10.41</v>
      </c>
    </row>
    <row r="7" spans="1:16" ht="46" x14ac:dyDescent="0.2">
      <c r="A7" s="2" t="s">
        <v>14</v>
      </c>
      <c r="B7" s="3">
        <v>2.4300000000000002</v>
      </c>
      <c r="C7" s="6">
        <v>4.92</v>
      </c>
      <c r="D7" s="6">
        <v>5.47</v>
      </c>
      <c r="E7" s="6">
        <v>4.24</v>
      </c>
      <c r="F7" s="6">
        <v>5.73</v>
      </c>
      <c r="G7" s="6">
        <v>0.41</v>
      </c>
      <c r="H7" s="6">
        <v>1.03</v>
      </c>
      <c r="I7" s="6">
        <v>0.03</v>
      </c>
      <c r="J7" s="6">
        <v>15.27</v>
      </c>
      <c r="K7" s="6">
        <v>2.5</v>
      </c>
      <c r="L7" s="6">
        <v>0.84</v>
      </c>
      <c r="M7" s="6">
        <v>1.1299999999999999</v>
      </c>
      <c r="N7" s="6">
        <v>1.77</v>
      </c>
      <c r="O7" s="6">
        <v>0.08</v>
      </c>
      <c r="P7" s="6">
        <v>6.51</v>
      </c>
    </row>
    <row r="8" spans="1:16" ht="69" x14ac:dyDescent="0.2">
      <c r="A8" s="2" t="s">
        <v>15</v>
      </c>
      <c r="B8" s="3" t="s">
        <v>32</v>
      </c>
      <c r="C8" s="6">
        <v>5</v>
      </c>
      <c r="D8" s="6">
        <v>2.2000000000000002</v>
      </c>
      <c r="E8" s="6">
        <v>2.6</v>
      </c>
      <c r="F8" s="6">
        <v>0.6</v>
      </c>
      <c r="G8" s="6">
        <v>4</v>
      </c>
      <c r="H8" s="6">
        <v>7</v>
      </c>
      <c r="I8" s="6">
        <v>13</v>
      </c>
      <c r="J8" s="6">
        <v>29</v>
      </c>
      <c r="K8" s="6">
        <v>7</v>
      </c>
      <c r="L8" s="6">
        <v>6</v>
      </c>
      <c r="M8" s="6">
        <v>7</v>
      </c>
      <c r="N8" s="6">
        <v>0.6</v>
      </c>
      <c r="O8" s="6">
        <v>0.3</v>
      </c>
      <c r="P8" s="6">
        <v>7</v>
      </c>
    </row>
    <row r="9" spans="1:16" ht="69" x14ac:dyDescent="0.2">
      <c r="A9" s="2" t="s">
        <v>16</v>
      </c>
      <c r="B9" s="3" t="s">
        <v>32</v>
      </c>
      <c r="C9" s="6">
        <v>4.22</v>
      </c>
      <c r="D9" s="6">
        <v>0.06</v>
      </c>
      <c r="E9" s="6">
        <v>0.37</v>
      </c>
      <c r="F9" s="6">
        <v>1.87</v>
      </c>
      <c r="G9" s="6">
        <v>0.37</v>
      </c>
      <c r="H9" s="6">
        <v>0.99</v>
      </c>
      <c r="I9" s="6">
        <v>7.0000000000000007E-2</v>
      </c>
      <c r="J9" s="6">
        <v>2.2599999999999998</v>
      </c>
      <c r="K9" s="6">
        <v>0.43</v>
      </c>
      <c r="L9" s="6">
        <v>0.28000000000000003</v>
      </c>
      <c r="M9" s="6">
        <v>0.24</v>
      </c>
      <c r="N9" s="6">
        <v>0.92</v>
      </c>
      <c r="O9" s="6">
        <v>0.73</v>
      </c>
      <c r="P9" s="6">
        <v>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calexzz</dc:creator>
  <cp:lastModifiedBy>calexzz</cp:lastModifiedBy>
  <dcterms:created xsi:type="dcterms:W3CDTF">2025-12-01T10:00:03Z</dcterms:created>
  <dcterms:modified xsi:type="dcterms:W3CDTF">2025-12-01T10:36:10Z</dcterms:modified>
</cp:coreProperties>
</file>